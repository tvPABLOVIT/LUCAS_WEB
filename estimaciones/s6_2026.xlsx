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DA9027BC-8D23-47CA-987D-05222269A2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2" l="1"/>
  <c r="L30" i="2" s="1"/>
  <c r="K26" i="2"/>
  <c r="L26" i="2" s="1"/>
  <c r="K22" i="2"/>
  <c r="L22" i="2" s="1"/>
  <c r="F35" i="2" l="1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J24" i="2"/>
  <c r="J28" i="2" l="1"/>
  <c r="J37" i="2" s="1"/>
  <c r="M40" i="2" s="1"/>
  <c r="C2" i="9"/>
  <c r="J30" i="2"/>
  <c r="J26" i="2"/>
  <c r="J36" i="2" l="1"/>
  <c r="F37" i="2" l="1"/>
  <c r="G37" i="2" s="1"/>
  <c r="G39" i="2"/>
  <c r="G40" i="2" s="1"/>
  <c r="H37" i="2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<sst xmlns="http://schemas.openxmlformats.org/spreadsheetml/2006/main" count="99" uniqueCount="74">
  <si>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</si>
  <si>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</si>
  <si>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</si>
  <si>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</si>
  <si>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</si>
  <si>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</si>
  <si>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</si>
  <si>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</si>
  <si>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</si>
  <si>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</si>
  <si>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</si>
  <si>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</si>
  <si>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</si>
  <si>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</si>
  <si>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</si>
  <si>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</si>
  <si>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</si>
  <si>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</si>
  <si>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</si>
  <si>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</si>
  <si>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</si>
  <si>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</si>
  <si>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</si>
  <si>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</si>
  <si>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</si>
  <si>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</si>
  <si>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</si>
  <si>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</si>
  <si>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</si>
  <si>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</si>
  <si>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</si>
  <si>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</si>
  <si>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</si>
  <si>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</si>
  <si>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</si>
  <si>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</si>
  <si>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</si>
  <si>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</si>
  <si>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</si>
  <si>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</si>
  <si>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</si>
  <si>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</si>
  <si>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</si>
  <si>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</si>
  <si>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</si>
  <si>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</si>
  <si>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</si>
  <si>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</si>
  <si>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</si>
  <si>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</si>
  <si>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</si>
  <si>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</si>
  <si>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</si>
  <si>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</si>
  <si>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</si>
  <si>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</si>
  <si>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Objetivo 50</t>
  </si>
  <si>
    <t>MEDIO DIA</t>
  </si>
  <si>
    <t>LUNCH MENÚ 16,90€</t>
  </si>
  <si>
    <t>MAÑANA 10.30H</t>
  </si>
  <si>
    <t xml:space="preserve">REUNIÓN SEMANAL </t>
  </si>
  <si>
    <t>DE LUNES A VIERNES</t>
  </si>
  <si>
    <t>NOCHE 21H</t>
  </si>
  <si>
    <t>LUNES A DOMINGO</t>
  </si>
  <si>
    <t>S6</t>
  </si>
  <si>
    <t>del 02/02 al 08/02</t>
  </si>
  <si>
    <t>COPA DEL REY: ALBACETE VS BARÇA</t>
  </si>
  <si>
    <t>TARDE 16:15h</t>
  </si>
  <si>
    <t>BARÇA VS MALLORCA</t>
  </si>
  <si>
    <t>MARTES 03.02</t>
  </si>
  <si>
    <t>DE MARTES A VIERNES</t>
  </si>
  <si>
    <t xml:space="preserve">ISE FIRA (85.000 VISITANTES AÑO 2025) GRAN VIA </t>
  </si>
  <si>
    <t>BARCELONA WINE WEEK/ OFERTA: Tapa + copa de vino tinto</t>
  </si>
  <si>
    <t>Semana con lluvias de lunes a viernes. Temperaturas máximas de 14º y minimas de 7º.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</si>
</sst>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2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10" xfId="0" applyFont="1" applyBorder="1"/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1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rnatMagraner\Downloads\ESTIMACI&#211;N%20DEMANDA%20s5%20BETLEM.xlsx" TargetMode="External"/><Relationship Id="rId1" Type="http://schemas.openxmlformats.org/officeDocument/2006/relationships/externalLinkPath" Target="file:///C:\Users\BernatMagraner\Downloads\ESTIMACI&#211;N%20DEMANDA%20s5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3449</v>
          </cell>
        </row>
        <row r="26">
          <cell r="J26">
            <v>2182</v>
          </cell>
        </row>
        <row r="30">
          <cell r="J30">
            <v>4256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A2" zoomScale="60" zoomScaleNormal="60" workbookViewId="0">
      <selection activeCell="I19" sqref="I1:I1048576"/>
    </sheetView>
  </sheetViews>
  <sheetFormatPr baseColWidth="10" defaultColWidth="14.453125" defaultRowHeight="15" customHeight="1" x14ac:dyDescent="0.35"/>
  <cols>
    <col min="1" max="2" width="38" bestFit="1" customWidth="1"/>
    <col min="3" max="3" width="21.81640625" customWidth="1"/>
    <col min="4" max="4" width="21.7265625" customWidth="1"/>
    <col min="5" max="5" width="21" customWidth="1"/>
    <col min="6" max="6" width="22.453125" customWidth="1"/>
    <col min="7" max="8" width="17.54296875" bestFit="1" customWidth="1"/>
    <col min="9" max="9" width="18.453125" customWidth="1"/>
    <col min="10" max="10" width="14.4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66" t="s">
        <v>32</v>
      </c>
      <c r="B1" s="67"/>
      <c r="C1" s="67"/>
      <c r="D1" s="67"/>
      <c r="E1" s="67"/>
      <c r="F1" s="67"/>
      <c r="G1" s="67"/>
      <c r="H1" s="67"/>
      <c r="I1" s="68"/>
    </row>
    <row r="2" spans="1:14" ht="18.5" x14ac:dyDescent="0.45">
      <c r="A2" s="1" t="s">
        <v>0</v>
      </c>
      <c r="B2" s="69" t="s">
        <v>49</v>
      </c>
      <c r="C2" s="70"/>
      <c r="D2" s="70"/>
      <c r="E2" s="70"/>
      <c r="F2" s="71"/>
    </row>
    <row r="3" spans="1:14" thickBot="1" x14ac:dyDescent="0.4">
      <c r="A3" s="2" t="s">
        <v>1</v>
      </c>
      <c r="B3" s="3" t="s">
        <v>64</v>
      </c>
      <c r="C3" s="72" t="s">
        <v>65</v>
      </c>
      <c r="D3" s="73"/>
      <c r="E3" s="73"/>
      <c r="F3" s="74"/>
    </row>
    <row r="4" spans="1:14" ht="14.5" x14ac:dyDescent="0.35">
      <c r="A4" s="75" t="s">
        <v>44</v>
      </c>
      <c r="B4" s="70"/>
      <c r="C4" s="70"/>
      <c r="D4" s="70"/>
      <c r="E4" s="70"/>
      <c r="F4" s="76"/>
      <c r="G4" s="77" t="s">
        <v>2</v>
      </c>
      <c r="H4" s="78"/>
      <c r="I4" s="78"/>
      <c r="J4" s="79"/>
    </row>
    <row r="5" spans="1:14" ht="16.5" customHeight="1" x14ac:dyDescent="0.45">
      <c r="A5" s="4" t="s">
        <v>3</v>
      </c>
      <c r="B5" s="47" t="s">
        <v>45</v>
      </c>
      <c r="C5" s="80" t="s">
        <v>46</v>
      </c>
      <c r="D5" s="81"/>
      <c r="E5" s="81"/>
      <c r="F5" s="82"/>
      <c r="G5" s="83" t="s">
        <v>53</v>
      </c>
      <c r="H5" s="84"/>
      <c r="I5" s="84"/>
      <c r="J5" s="85"/>
    </row>
    <row r="6" spans="1:14" ht="16.5" customHeight="1" x14ac:dyDescent="0.45">
      <c r="A6" s="28" t="s">
        <v>63</v>
      </c>
      <c r="B6" s="29" t="s">
        <v>51</v>
      </c>
      <c r="C6" s="61" t="s">
        <v>52</v>
      </c>
      <c r="D6" s="64"/>
      <c r="E6" s="64"/>
      <c r="F6" s="65"/>
      <c r="G6" s="83" t="s">
        <v>54</v>
      </c>
      <c r="H6" s="84"/>
      <c r="I6" s="84"/>
      <c r="J6" s="85"/>
    </row>
    <row r="7" spans="1:14" ht="18.5" x14ac:dyDescent="0.45">
      <c r="A7" s="28" t="s">
        <v>69</v>
      </c>
      <c r="B7" s="60" t="s">
        <v>59</v>
      </c>
      <c r="C7" s="61" t="s">
        <v>60</v>
      </c>
      <c r="D7" s="62"/>
      <c r="E7" s="62"/>
      <c r="F7" s="63"/>
      <c r="G7" s="83"/>
      <c r="H7" s="84"/>
      <c r="I7" s="84"/>
      <c r="J7" s="85"/>
    </row>
    <row r="8" spans="1:14" ht="18.5" x14ac:dyDescent="0.45">
      <c r="A8" s="28" t="s">
        <v>61</v>
      </c>
      <c r="B8" s="29" t="s">
        <v>57</v>
      </c>
      <c r="C8" s="61" t="s">
        <v>58</v>
      </c>
      <c r="D8" s="62"/>
      <c r="E8" s="62"/>
      <c r="F8" s="63"/>
      <c r="G8" s="83"/>
      <c r="H8" s="84"/>
      <c r="I8" s="84"/>
      <c r="J8" s="85"/>
    </row>
    <row r="9" spans="1:14" ht="18.5" x14ac:dyDescent="0.45">
      <c r="A9" s="28" t="s">
        <v>8</v>
      </c>
      <c r="B9" s="29" t="s">
        <v>62</v>
      </c>
      <c r="C9" s="61" t="s">
        <v>66</v>
      </c>
      <c r="D9" s="62"/>
      <c r="E9" s="62"/>
      <c r="F9" s="63"/>
      <c r="G9" s="83"/>
      <c r="H9" s="84"/>
      <c r="I9" s="84"/>
      <c r="J9" s="85"/>
      <c r="L9" s="53"/>
      <c r="M9" s="53"/>
      <c r="N9" s="53"/>
    </row>
    <row r="10" spans="1:14" ht="19" thickBot="1" x14ac:dyDescent="0.5">
      <c r="A10" s="28" t="s">
        <v>5</v>
      </c>
      <c r="B10" s="29" t="s">
        <v>67</v>
      </c>
      <c r="C10" s="61" t="s">
        <v>68</v>
      </c>
      <c r="D10" s="62"/>
      <c r="E10" s="62"/>
      <c r="F10" s="63"/>
      <c r="G10" s="83"/>
      <c r="H10" s="84"/>
      <c r="I10" s="84"/>
      <c r="J10" s="85"/>
    </row>
    <row r="11" spans="1:14" ht="18.5" x14ac:dyDescent="0.45">
      <c r="A11" s="28" t="s">
        <v>70</v>
      </c>
      <c r="B11" s="29" t="s">
        <v>51</v>
      </c>
      <c r="C11" s="61" t="s">
        <v>71</v>
      </c>
      <c r="D11" s="64"/>
      <c r="E11" s="64"/>
      <c r="F11" s="65"/>
      <c r="G11" s="75" t="s">
        <v>33</v>
      </c>
      <c r="H11" s="70"/>
      <c r="I11" s="70"/>
      <c r="J11" s="76"/>
    </row>
    <row r="12" spans="1:14" ht="18.5" x14ac:dyDescent="0.45">
      <c r="A12" s="28" t="s">
        <v>61</v>
      </c>
      <c r="B12" s="29" t="s">
        <v>51</v>
      </c>
      <c r="C12" s="61" t="s">
        <v>72</v>
      </c>
      <c r="D12" s="62"/>
      <c r="E12" s="62"/>
      <c r="F12" s="63"/>
      <c r="G12" s="83"/>
      <c r="H12" s="84"/>
      <c r="I12" s="84"/>
      <c r="J12" s="85"/>
    </row>
    <row r="13" spans="1:14" ht="18.5" x14ac:dyDescent="0.45">
      <c r="A13" s="28"/>
      <c r="B13" s="29"/>
      <c r="C13" s="61"/>
      <c r="D13" s="62"/>
      <c r="E13" s="62"/>
      <c r="F13" s="63"/>
      <c r="G13" s="83"/>
      <c r="H13" s="84"/>
      <c r="I13" s="84"/>
      <c r="J13" s="85"/>
    </row>
    <row r="14" spans="1:14" ht="18.5" x14ac:dyDescent="0.45">
      <c r="A14" s="28"/>
      <c r="B14" s="29"/>
      <c r="C14" s="61"/>
      <c r="D14" s="62"/>
      <c r="E14" s="62"/>
      <c r="F14" s="63"/>
      <c r="G14" s="83"/>
      <c r="H14" s="84"/>
      <c r="I14" s="84"/>
      <c r="J14" s="85"/>
    </row>
    <row r="15" spans="1:14" ht="18.5" x14ac:dyDescent="0.45">
      <c r="A15" s="28"/>
      <c r="B15" s="29"/>
      <c r="C15" s="61"/>
      <c r="D15" s="64"/>
      <c r="E15" s="64"/>
      <c r="F15" s="65"/>
      <c r="G15" s="83"/>
      <c r="H15" s="84"/>
      <c r="I15" s="84"/>
      <c r="J15" s="85"/>
    </row>
    <row r="16" spans="1:14" ht="18.5" x14ac:dyDescent="0.45">
      <c r="A16" s="28"/>
      <c r="B16" s="29"/>
      <c r="C16" s="61"/>
      <c r="D16" s="64"/>
      <c r="E16" s="64"/>
      <c r="F16" s="65"/>
      <c r="G16" s="83"/>
      <c r="H16" s="84"/>
      <c r="I16" s="84"/>
      <c r="J16" s="85"/>
    </row>
    <row r="17" spans="1:12" ht="18.5" x14ac:dyDescent="0.45">
      <c r="A17" s="28"/>
      <c r="B17" s="29"/>
      <c r="C17" s="61"/>
      <c r="D17" s="64"/>
      <c r="E17" s="64"/>
      <c r="F17" s="65"/>
      <c r="G17" s="83"/>
      <c r="H17" s="84"/>
      <c r="I17" s="84"/>
      <c r="J17" s="85"/>
    </row>
    <row r="18" spans="1:12" ht="20" thickBot="1" x14ac:dyDescent="0.5">
      <c r="A18" s="30" t="s">
        <v>6</v>
      </c>
      <c r="B18" s="92" t="s">
        <v>73</v>
      </c>
      <c r="C18" s="93"/>
      <c r="D18" s="93"/>
      <c r="E18" s="93"/>
      <c r="F18" s="94"/>
      <c r="G18" s="99" t="s">
        <v>55</v>
      </c>
      <c r="H18" s="100"/>
      <c r="I18" s="100"/>
      <c r="J18" s="101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45690</v>
      </c>
      <c r="D21" s="9">
        <v>45691</v>
      </c>
      <c r="E21" s="9">
        <v>45692</v>
      </c>
      <c r="F21" s="9">
        <v>45693</v>
      </c>
      <c r="G21" s="9">
        <v>45694</v>
      </c>
      <c r="H21" s="9">
        <v>45695</v>
      </c>
      <c r="I21" s="9">
        <v>45696</v>
      </c>
    </row>
    <row r="22" spans="1:12" ht="15.75" customHeight="1" thickBot="1" x14ac:dyDescent="0.4">
      <c r="A22" s="86" t="s">
        <v>12</v>
      </c>
      <c r="B22" s="10" t="s">
        <v>13</v>
      </c>
      <c r="C22" s="54">
        <v>392</v>
      </c>
      <c r="D22" s="54">
        <v>264</v>
      </c>
      <c r="E22" s="54">
        <v>300</v>
      </c>
      <c r="F22" s="54">
        <v>525</v>
      </c>
      <c r="G22" s="54">
        <v>465</v>
      </c>
      <c r="H22" s="54">
        <v>915</v>
      </c>
      <c r="I22" s="54">
        <v>1073</v>
      </c>
      <c r="J22" s="12">
        <f>SUM(C22:I22)</f>
        <v>3934</v>
      </c>
      <c r="K22" s="52">
        <f>J22-[1]B!$J$22</f>
        <v>485</v>
      </c>
      <c r="L22" s="59">
        <f>K22/J22</f>
        <v>0.12328418912048805</v>
      </c>
    </row>
    <row r="23" spans="1:12" ht="15.75" customHeight="1" thickBot="1" x14ac:dyDescent="0.4">
      <c r="A23" s="87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87"/>
      <c r="B24" s="14" t="s">
        <v>15</v>
      </c>
      <c r="C24" s="33">
        <v>400</v>
      </c>
      <c r="D24" s="33">
        <v>400</v>
      </c>
      <c r="E24" s="33">
        <v>400</v>
      </c>
      <c r="F24" s="33">
        <v>500</v>
      </c>
      <c r="G24" s="33">
        <v>500</v>
      </c>
      <c r="H24" s="33">
        <v>1200</v>
      </c>
      <c r="I24" s="33">
        <v>1200</v>
      </c>
      <c r="J24" s="15">
        <f>SUM(C24:I24)</f>
        <v>4600</v>
      </c>
    </row>
    <row r="25" spans="1:12" ht="15.75" customHeight="1" thickBot="1" x14ac:dyDescent="0.4">
      <c r="A25" s="88"/>
      <c r="B25" s="16" t="s">
        <v>16</v>
      </c>
      <c r="C25" s="32">
        <v>2</v>
      </c>
      <c r="D25" s="32">
        <v>2</v>
      </c>
      <c r="E25" s="32">
        <v>2</v>
      </c>
      <c r="F25" s="32">
        <v>2</v>
      </c>
      <c r="G25" s="32">
        <v>3</v>
      </c>
      <c r="H25" s="32">
        <v>4</v>
      </c>
      <c r="I25" s="32">
        <v>4</v>
      </c>
    </row>
    <row r="26" spans="1:12" ht="15.75" customHeight="1" thickBot="1" x14ac:dyDescent="0.4">
      <c r="A26" s="86" t="s">
        <v>50</v>
      </c>
      <c r="B26" s="10" t="s">
        <v>13</v>
      </c>
      <c r="C26" s="54">
        <v>469</v>
      </c>
      <c r="D26" s="54">
        <v>278</v>
      </c>
      <c r="E26" s="54">
        <v>458</v>
      </c>
      <c r="F26" s="54">
        <v>579</v>
      </c>
      <c r="G26" s="54">
        <v>631</v>
      </c>
      <c r="H26" s="54">
        <v>242</v>
      </c>
      <c r="I26" s="54">
        <v>269</v>
      </c>
      <c r="J26" s="12">
        <f>SUM(C26:I26)</f>
        <v>2926</v>
      </c>
      <c r="K26" s="5">
        <f>J26-[1]B!$J$26</f>
        <v>744</v>
      </c>
      <c r="L26" s="59">
        <f>K26/J26</f>
        <v>0.25427204374572798</v>
      </c>
    </row>
    <row r="27" spans="1:12" ht="15.75" customHeight="1" thickBot="1" x14ac:dyDescent="0.4">
      <c r="A27" s="87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4">
      <c r="A28" s="87"/>
      <c r="B28" s="14" t="s">
        <v>15</v>
      </c>
      <c r="C28" s="33">
        <v>300</v>
      </c>
      <c r="D28" s="33">
        <v>300</v>
      </c>
      <c r="E28" s="33">
        <v>300</v>
      </c>
      <c r="F28" s="33">
        <v>450</v>
      </c>
      <c r="G28" s="33">
        <v>450</v>
      </c>
      <c r="H28" s="33">
        <v>450</v>
      </c>
      <c r="I28" s="33">
        <v>450</v>
      </c>
      <c r="J28" s="15">
        <f>SUM(C28:I28)</f>
        <v>2700</v>
      </c>
    </row>
    <row r="29" spans="1:12" ht="15.75" customHeight="1" thickBot="1" x14ac:dyDescent="0.4">
      <c r="A29" s="88"/>
      <c r="B29" s="16" t="s">
        <v>16</v>
      </c>
      <c r="C29" s="32">
        <v>2</v>
      </c>
      <c r="D29" s="32">
        <v>2</v>
      </c>
      <c r="E29" s="32">
        <v>2</v>
      </c>
      <c r="F29" s="32">
        <v>2</v>
      </c>
      <c r="G29" s="32">
        <v>4</v>
      </c>
      <c r="H29" s="32">
        <v>4</v>
      </c>
      <c r="I29" s="32">
        <v>4</v>
      </c>
      <c r="K29" s="5"/>
    </row>
    <row r="30" spans="1:12" ht="15.75" customHeight="1" thickBot="1" x14ac:dyDescent="0.4">
      <c r="A30" s="89" t="s">
        <v>17</v>
      </c>
      <c r="B30" s="10" t="s">
        <v>13</v>
      </c>
      <c r="C30" s="54">
        <v>408</v>
      </c>
      <c r="D30" s="54">
        <v>566</v>
      </c>
      <c r="E30" s="54">
        <v>446</v>
      </c>
      <c r="F30" s="54">
        <v>605</v>
      </c>
      <c r="G30" s="54">
        <v>1023</v>
      </c>
      <c r="H30" s="54">
        <v>916</v>
      </c>
      <c r="I30" s="54">
        <v>233</v>
      </c>
      <c r="J30" s="12">
        <f>SUM(C30:I30)</f>
        <v>4197</v>
      </c>
      <c r="K30" s="5">
        <f>J30-[1]B!$J$30</f>
        <v>-59</v>
      </c>
      <c r="L30" s="59">
        <f>K30/[1]B!$J$30</f>
        <v>-1.3862781954887217E-2</v>
      </c>
    </row>
    <row r="31" spans="1:12" ht="15.75" customHeight="1" thickBot="1" x14ac:dyDescent="0.4">
      <c r="A31" s="90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90"/>
      <c r="B32" s="14" t="s">
        <v>15</v>
      </c>
      <c r="C32" s="33">
        <v>600</v>
      </c>
      <c r="D32" s="33">
        <v>600</v>
      </c>
      <c r="E32" s="33">
        <v>600</v>
      </c>
      <c r="F32" s="33">
        <v>600</v>
      </c>
      <c r="G32" s="33">
        <v>1000</v>
      </c>
      <c r="H32" s="33">
        <v>1000</v>
      </c>
      <c r="I32" s="33">
        <v>450</v>
      </c>
      <c r="J32" s="15">
        <f>SUM(C32:I32)</f>
        <v>4850</v>
      </c>
    </row>
    <row r="33" spans="1:15" ht="15.75" customHeight="1" thickBot="1" x14ac:dyDescent="0.4">
      <c r="A33" s="91"/>
      <c r="B33" s="16" t="s">
        <v>16</v>
      </c>
      <c r="C33" s="32">
        <v>3</v>
      </c>
      <c r="D33" s="32">
        <v>3</v>
      </c>
      <c r="E33" s="32">
        <v>3</v>
      </c>
      <c r="F33" s="32">
        <v>3</v>
      </c>
      <c r="G33" s="32">
        <v>4</v>
      </c>
      <c r="H33" s="32">
        <v>4</v>
      </c>
      <c r="I33" s="32">
        <v>4</v>
      </c>
    </row>
    <row r="34" spans="1:15" ht="15.75" customHeight="1" x14ac:dyDescent="0.35">
      <c r="B34" s="57" t="s">
        <v>47</v>
      </c>
      <c r="C34" s="58">
        <f>C32+C28+C24</f>
        <v>1300</v>
      </c>
      <c r="D34" s="58">
        <f t="shared" ref="D34:H34" si="0">D32+D28+D24</f>
        <v>1300</v>
      </c>
      <c r="E34" s="58">
        <f t="shared" si="0"/>
        <v>1300</v>
      </c>
      <c r="F34" s="58">
        <f t="shared" si="0"/>
        <v>1550</v>
      </c>
      <c r="G34" s="58">
        <f t="shared" si="0"/>
        <v>1950</v>
      </c>
      <c r="H34" s="58">
        <f t="shared" si="0"/>
        <v>2650</v>
      </c>
      <c r="I34" s="58">
        <f>I32+I28+I24</f>
        <v>2100</v>
      </c>
    </row>
    <row r="35" spans="1:15" ht="15.75" customHeight="1" x14ac:dyDescent="0.35">
      <c r="B35" s="55" t="s">
        <v>48</v>
      </c>
      <c r="C35" s="56">
        <f>SUM(C30+C26+C22)</f>
        <v>1269</v>
      </c>
      <c r="D35" s="56">
        <f>SUM(D30+D26+D22)</f>
        <v>1108</v>
      </c>
      <c r="E35" s="56">
        <f>SUM(E30+E26+E22)</f>
        <v>1204</v>
      </c>
      <c r="F35" s="56">
        <f>SUM(F30+F26+F22)</f>
        <v>1709</v>
      </c>
      <c r="G35" s="56">
        <f>SUM(G30+G26+G22)</f>
        <v>2119</v>
      </c>
      <c r="H35" s="56">
        <f t="shared" ref="H35:I35" si="1">SUM(H30+H26+H22)</f>
        <v>2073</v>
      </c>
      <c r="I35" s="56">
        <f t="shared" si="1"/>
        <v>1575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11057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F37" s="52">
        <f>J36-[2]B!$J$37</f>
        <v>-4043</v>
      </c>
      <c r="G37" s="59">
        <f>F37/[2]B!$J$37</f>
        <v>-0.26774834437086092</v>
      </c>
      <c r="H37" s="52">
        <f>J36-J37</f>
        <v>-1093</v>
      </c>
      <c r="I37" s="18" t="s">
        <v>22</v>
      </c>
      <c r="J37" s="22">
        <f>J28+J32+J24</f>
        <v>12150</v>
      </c>
      <c r="K37" s="11"/>
      <c r="L37" s="23">
        <f>J37</f>
        <v>12150</v>
      </c>
      <c r="M37" s="24">
        <f>L37/50</f>
        <v>243</v>
      </c>
    </row>
    <row r="38" spans="1:15" ht="15.75" customHeight="1" x14ac:dyDescent="0.35">
      <c r="F38" s="52"/>
      <c r="H38" s="59">
        <f>H37/J36</f>
        <v>-9.8851406348919243E-2</v>
      </c>
      <c r="J38" s="5">
        <f>+J37-J36</f>
        <v>1093</v>
      </c>
    </row>
    <row r="39" spans="1:15" ht="15.75" customHeight="1" x14ac:dyDescent="0.35">
      <c r="F39" s="52"/>
      <c r="G39" s="52">
        <f>J36-[3]B!$J$37</f>
        <v>-1893</v>
      </c>
      <c r="I39" s="25" t="s">
        <v>23</v>
      </c>
      <c r="J39" s="51">
        <v>262</v>
      </c>
      <c r="K39" s="52">
        <f>15100/J39</f>
        <v>57.63358778625954</v>
      </c>
    </row>
    <row r="40" spans="1:15" ht="15.75" customHeight="1" x14ac:dyDescent="0.35">
      <c r="C40" s="52">
        <f>C22-330</f>
        <v>62</v>
      </c>
      <c r="G40" s="59">
        <f>G39/J36</f>
        <v>-0.17120376232251064</v>
      </c>
      <c r="I40" s="25" t="s">
        <v>24</v>
      </c>
      <c r="J40" s="50">
        <f>J36/J39</f>
        <v>42.202290076335878</v>
      </c>
      <c r="K40" s="35" t="s">
        <v>56</v>
      </c>
      <c r="L40" s="26" t="s">
        <v>25</v>
      </c>
      <c r="M40" s="36">
        <f>J37/50</f>
        <v>243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3092.7272727272725</v>
      </c>
    </row>
    <row r="43" spans="1:15" ht="15.75" hidden="1" customHeight="1" x14ac:dyDescent="0.35">
      <c r="H43" s="95" t="s">
        <v>43</v>
      </c>
      <c r="I43" s="96"/>
      <c r="J43" s="96"/>
      <c r="K43" s="97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98" t="s">
        <v>43</v>
      </c>
      <c r="I48" s="96"/>
      <c r="J48" s="96"/>
      <c r="K48" s="97"/>
      <c r="L48" s="98" t="s">
        <v>43</v>
      </c>
      <c r="M48" s="96"/>
      <c r="N48" s="96"/>
      <c r="O48" s="97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  <mergeCell ref="A30:A33"/>
    <mergeCell ref="C15:F15"/>
    <mergeCell ref="C16:F16"/>
    <mergeCell ref="C17:F17"/>
    <mergeCell ref="A22:A25"/>
    <mergeCell ref="B18:F18"/>
    <mergeCell ref="C14:F14"/>
    <mergeCell ref="C12:F12"/>
    <mergeCell ref="G9:J9"/>
    <mergeCell ref="G10:J10"/>
    <mergeCell ref="A26:A29"/>
    <mergeCell ref="C13:F13"/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2026-01-28T12:50:37Z</dcterms:modified>
</cp:coreProperties>
</file>