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" sheetId="1" r:id="rId5"/>
    <sheet state="hidden" name="PRODUCTIVIDAD GRUPO RESTICA" sheetId="2" r:id="rId6"/>
  </sheets>
  <definedNames/>
  <calcPr/>
</workbook>
</file>

<file path=xl/sharedStrings.xml><?xml version="1.0" encoding="utf-8"?>
<sst xmlns="http://schemas.openxmlformats.org/spreadsheetml/2006/main" count="96" uniqueCount="74">
  <si>
    <t>ESTIMACION DEMANDA</t>
  </si>
  <si>
    <t>CENTRO</t>
  </si>
  <si>
    <t>BETLEM</t>
  </si>
  <si>
    <t>SEMANA</t>
  </si>
  <si>
    <t>S11</t>
  </si>
  <si>
    <t>del 09/03 al 15/03</t>
  </si>
  <si>
    <t>EVENTS DE LA SEMANA</t>
  </si>
  <si>
    <t>HORARIO DE CARA AL PÚBLICO</t>
  </si>
  <si>
    <t>DIA</t>
  </si>
  <si>
    <t>TORN</t>
  </si>
  <si>
    <t>EVENT</t>
  </si>
  <si>
    <t>De lunes a viernes de 12:30h a 00:00h</t>
  </si>
  <si>
    <t>LUNES A DOMINGO</t>
  </si>
  <si>
    <t>TODO EL DIA</t>
  </si>
  <si>
    <t>TERRAZA FUNICULAR ABIERTA</t>
  </si>
  <si>
    <t>Sábado y domingo de 12:00h a 00:00h</t>
  </si>
  <si>
    <t>MIÉRCOLES 10.03</t>
  </si>
  <si>
    <t>MAÑANA 10.30H</t>
  </si>
  <si>
    <t>REUNIÓN SEMANAL (SUSPENDIDA)</t>
  </si>
  <si>
    <t>DE LUNES A VIERNES</t>
  </si>
  <si>
    <t>MEDIO DIA</t>
  </si>
  <si>
    <t>LUNCH MENÚ 16,90€</t>
  </si>
  <si>
    <t>MARTES</t>
  </si>
  <si>
    <t>NOCHE 21h</t>
  </si>
  <si>
    <t>NEWCASTLE VS BARÇA (CHAMPIONS)</t>
  </si>
  <si>
    <t>DOMINGO</t>
  </si>
  <si>
    <t>TARDE 16.15h</t>
  </si>
  <si>
    <t>BARÇA VS SEVILLA</t>
  </si>
  <si>
    <t>MIÉRCOLES 11.03</t>
  </si>
  <si>
    <t>MAÑANA 10.00H</t>
  </si>
  <si>
    <t>FORMACIÓN RIESGOS LABORALES (CAFÉ DEL CENTRE)</t>
  </si>
  <si>
    <t>HORARIO DEL PERSONAL</t>
  </si>
  <si>
    <t>Weather</t>
  </si>
  <si>
    <t>Lunes y fin de semana soleado. De martes a viernes lluvia. Temperaturas máximas de 17º y BAJAN minimas a 8º.</t>
  </si>
  <si>
    <t>HORAS: 80,5horas</t>
  </si>
  <si>
    <t>LUNES</t>
  </si>
  <si>
    <t>MIÉRCOLES</t>
  </si>
  <si>
    <t>JUEVES</t>
  </si>
  <si>
    <t>VIERNES</t>
  </si>
  <si>
    <t>SÁBADO</t>
  </si>
  <si>
    <t>LUNCH</t>
  </si>
  <si>
    <t>VENTAS ANTERIOR</t>
  </si>
  <si>
    <t>RECURSOS ANTERIOR</t>
  </si>
  <si>
    <t>VENTAS ESTIMADAS</t>
  </si>
  <si>
    <t>RECURSOS ESTIMADOS</t>
  </si>
  <si>
    <t>MERIENDA</t>
  </si>
  <si>
    <t>DINNER</t>
  </si>
  <si>
    <t>TOTAL VENTAS ESTIMADAS</t>
  </si>
  <si>
    <t>TOTAL VENTAS SEMANA ANTERIOR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</si>
  <si>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</si>
  <si>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</si>
  <si>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</si>
  <si>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</si>
  <si>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</si>
  <si>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</si>
  <si>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</si>
  <si>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>Objetivo 53</t>
  </si>
  <si>
    <t xml:space="preserve">Horas para Objetivo </t>
  </si>
  <si>
    <t>Compras total semana anterior</t>
  </si>
  <si>
    <t>% Compras</t>
  </si>
  <si>
    <t xml:space="preserve">objetivo </t>
  </si>
  <si>
    <t xml:space="preserve">Kpi's </t>
  </si>
  <si>
    <t>% valoraciones semana anterior</t>
  </si>
  <si>
    <t xml:space="preserve">% valoraciones semana </t>
  </si>
  <si>
    <t>Objetivo 95%</t>
  </si>
  <si>
    <t>Delivery time anterior</t>
  </si>
  <si>
    <t>Delivery time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</si>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</sst>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17">
    <font>
      <sz val="11.0"/>
      <color rgb="FF000000"/>
      <name val="Calibri"/>
      <scheme val="minor"/>
    </font>
    <font>
      <sz val="20.0"/>
      <color rgb="FF000000"/>
      <name val="Calibri"/>
    </font>
    <font/>
    <font>
      <sz val="11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4.0"/>
      <color theme="1"/>
      <name val="Calibri"/>
    </font>
    <font>
      <sz val="15.0"/>
      <color rgb="FF000000"/>
      <name val="Calibri"/>
    </font>
    <font>
      <b/>
      <sz val="12.0"/>
      <color rgb="FF000000"/>
      <name val="Calibri"/>
    </font>
    <font>
      <b/>
      <i/>
      <sz val="9.0"/>
      <color rgb="FF000000"/>
      <name val="Calibri"/>
    </font>
    <font>
      <sz val="9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center"/>
    </xf>
    <xf borderId="13" fillId="0" fontId="2" numFmtId="0" xfId="0" applyBorder="1" applyFont="1"/>
    <xf borderId="12" fillId="0" fontId="5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2" fontId="4" numFmtId="0" xfId="0" applyAlignment="1" applyBorder="1" applyFill="1" applyFont="1">
      <alignment horizontal="left"/>
    </xf>
    <xf borderId="19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15" fillId="2" fontId="4" numFmtId="0" xfId="0" applyAlignment="1" applyBorder="1" applyFont="1">
      <alignment horizontal="center"/>
    </xf>
    <xf borderId="19" fillId="3" fontId="4" numFmtId="0" xfId="0" applyAlignment="1" applyBorder="1" applyFill="1" applyFont="1">
      <alignment horizontal="center"/>
    </xf>
    <xf borderId="14" fillId="3" fontId="4" numFmtId="0" xfId="0" applyAlignment="1" applyBorder="1" applyFont="1">
      <alignment horizontal="center"/>
    </xf>
    <xf borderId="15" fillId="3" fontId="4" numFmtId="0" xfId="0" applyAlignment="1" applyBorder="1" applyFont="1">
      <alignment horizontal="center"/>
    </xf>
    <xf borderId="0" fillId="0" fontId="6" numFmtId="0" xfId="0" applyFont="1"/>
    <xf borderId="20" fillId="4" fontId="7" numFmtId="0" xfId="0" applyAlignment="1" applyBorder="1" applyFill="1" applyFont="1">
      <alignment horizontal="center" vertical="center"/>
    </xf>
    <xf borderId="21" fillId="4" fontId="5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18" fillId="2" fontId="4" numFmtId="0" xfId="0" applyAlignment="1" applyBorder="1" applyFont="1">
      <alignment horizontal="center"/>
    </xf>
    <xf borderId="24" fillId="5" fontId="3" numFmtId="0" xfId="0" applyAlignment="1" applyBorder="1" applyFill="1" applyFont="1">
      <alignment horizontal="center"/>
    </xf>
    <xf borderId="25" fillId="0" fontId="3" numFmtId="0" xfId="0" applyAlignment="1" applyBorder="1" applyFont="1">
      <alignment horizontal="center"/>
    </xf>
    <xf borderId="0" fillId="0" fontId="3" numFmtId="164" xfId="0" applyFont="1" applyNumberFormat="1"/>
    <xf borderId="0" fillId="0" fontId="3" numFmtId="0" xfId="0" applyAlignment="1" applyFont="1">
      <alignment horizontal="center"/>
    </xf>
    <xf borderId="20" fillId="0" fontId="3" numFmtId="16" xfId="0" applyAlignment="1" applyBorder="1" applyFont="1" applyNumberFormat="1">
      <alignment horizontal="center"/>
    </xf>
    <xf borderId="26" fillId="0" fontId="8" numFmtId="0" xfId="0" applyAlignment="1" applyBorder="1" applyFont="1">
      <alignment horizontal="center" vertical="center"/>
    </xf>
    <xf borderId="27" fillId="0" fontId="9" numFmtId="0" xfId="0" applyBorder="1" applyFont="1"/>
    <xf borderId="28" fillId="0" fontId="3" numFmtId="164" xfId="0" applyBorder="1" applyFont="1" applyNumberFormat="1"/>
    <xf borderId="29" fillId="0" fontId="3" numFmtId="164" xfId="0" applyBorder="1" applyFont="1" applyNumberFormat="1"/>
    <xf borderId="0" fillId="0" fontId="3" numFmtId="9" xfId="0" applyFont="1" applyNumberFormat="1"/>
    <xf borderId="30" fillId="0" fontId="2" numFmtId="0" xfId="0" applyBorder="1" applyFont="1"/>
    <xf borderId="31" fillId="0" fontId="9" numFmtId="0" xfId="0" applyBorder="1" applyFont="1"/>
    <xf borderId="4" fillId="0" fontId="3" numFmtId="0" xfId="0" applyAlignment="1" applyBorder="1" applyFont="1">
      <alignment horizontal="center"/>
    </xf>
    <xf borderId="14" fillId="6" fontId="9" numFmtId="0" xfId="0" applyBorder="1" applyFill="1" applyFont="1"/>
    <xf borderId="28" fillId="6" fontId="8" numFmtId="164" xfId="0" applyBorder="1" applyFont="1" applyNumberFormat="1"/>
    <xf borderId="29" fillId="6" fontId="3" numFmtId="164" xfId="0" applyBorder="1" applyFont="1" applyNumberFormat="1"/>
    <xf borderId="32" fillId="0" fontId="2" numFmtId="0" xfId="0" applyBorder="1" applyFont="1"/>
    <xf borderId="20" fillId="6" fontId="9" numFmtId="0" xfId="0" applyBorder="1" applyFont="1"/>
    <xf borderId="33" fillId="6" fontId="5" numFmtId="0" xfId="0" applyAlignment="1" applyBorder="1" applyFont="1">
      <alignment horizontal="center"/>
    </xf>
    <xf borderId="34" fillId="0" fontId="8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14" fillId="7" fontId="9" numFmtId="0" xfId="0" applyBorder="1" applyFill="1" applyFont="1"/>
    <xf borderId="14" fillId="7" fontId="9" numFmtId="164" xfId="0" applyBorder="1" applyFont="1" applyNumberFormat="1"/>
    <xf borderId="14" fillId="8" fontId="9" numFmtId="0" xfId="0" applyBorder="1" applyFill="1" applyFont="1"/>
    <xf borderId="14" fillId="8" fontId="10" numFmtId="164" xfId="0" applyBorder="1" applyFont="1" applyNumberFormat="1"/>
    <xf borderId="0" fillId="0" fontId="8" numFmtId="0" xfId="0" applyAlignment="1" applyFont="1">
      <alignment horizontal="right"/>
    </xf>
    <xf borderId="37" fillId="9" fontId="3" numFmtId="164" xfId="0" applyBorder="1" applyFill="1" applyFont="1" applyNumberFormat="1"/>
    <xf borderId="28" fillId="0" fontId="11" numFmtId="0" xfId="0" applyBorder="1" applyFont="1"/>
    <xf borderId="28" fillId="0" fontId="12" numFmtId="164" xfId="0" applyBorder="1" applyFont="1" applyNumberFormat="1"/>
    <xf borderId="37" fillId="2" fontId="3" numFmtId="164" xfId="0" applyBorder="1" applyFont="1" applyNumberFormat="1"/>
    <xf borderId="28" fillId="2" fontId="3" numFmtId="164" xfId="0" applyBorder="1" applyFont="1" applyNumberFormat="1"/>
    <xf borderId="28" fillId="0" fontId="3" numFmtId="1" xfId="0" applyBorder="1" applyFont="1" applyNumberFormat="1"/>
    <xf borderId="0" fillId="0" fontId="5" numFmtId="0" xfId="0" applyAlignment="1" applyFont="1">
      <alignment horizontal="right"/>
    </xf>
    <xf borderId="37" fillId="8" fontId="13" numFmtId="0" xfId="0" applyBorder="1" applyFont="1"/>
    <xf borderId="37" fillId="8" fontId="5" numFmtId="164" xfId="0" applyBorder="1" applyFont="1" applyNumberFormat="1"/>
    <xf borderId="37" fillId="10" fontId="13" numFmtId="0" xfId="0" applyBorder="1" applyFill="1" applyFont="1"/>
    <xf borderId="37" fillId="10" fontId="5" numFmtId="164" xfId="0" applyBorder="1" applyFont="1" applyNumberFormat="1"/>
    <xf borderId="37" fillId="10" fontId="5" numFmtId="2" xfId="0" applyAlignment="1" applyBorder="1" applyFont="1" applyNumberFormat="1">
      <alignment horizontal="left"/>
    </xf>
    <xf borderId="37" fillId="11" fontId="14" numFmtId="0" xfId="0" applyBorder="1" applyFill="1" applyFont="1"/>
    <xf borderId="37" fillId="11" fontId="5" numFmtId="10" xfId="0" applyBorder="1" applyFont="1" applyNumberFormat="1"/>
    <xf borderId="0" fillId="0" fontId="13" numFmtId="0" xfId="0" applyAlignment="1" applyFont="1">
      <alignment horizontal="right"/>
    </xf>
    <xf borderId="37" fillId="10" fontId="13" numFmtId="165" xfId="0" applyBorder="1" applyFont="1" applyNumberFormat="1"/>
    <xf borderId="38" fillId="2" fontId="5" numFmtId="0" xfId="0" applyAlignment="1" applyBorder="1" applyFont="1">
      <alignment horizontal="center"/>
    </xf>
    <xf borderId="39" fillId="0" fontId="2" numFmtId="0" xfId="0" applyBorder="1" applyFont="1"/>
    <xf borderId="40" fillId="0" fontId="2" numFmtId="0" xfId="0" applyBorder="1" applyFont="1"/>
    <xf borderId="37" fillId="3" fontId="15" numFmtId="10" xfId="0" applyAlignment="1" applyBorder="1" applyFont="1" applyNumberFormat="1">
      <alignment horizontal="right"/>
    </xf>
    <xf borderId="0" fillId="0" fontId="3" numFmtId="0" xfId="0" applyAlignment="1" applyFont="1">
      <alignment horizontal="right"/>
    </xf>
    <xf borderId="37" fillId="3" fontId="8" numFmtId="10" xfId="0" applyAlignment="1" applyBorder="1" applyFont="1" applyNumberFormat="1">
      <alignment horizontal="right"/>
    </xf>
    <xf borderId="37" fillId="10" fontId="5" numFmtId="0" xfId="0" applyAlignment="1" applyBorder="1" applyFont="1">
      <alignment horizontal="right"/>
    </xf>
    <xf borderId="37" fillId="10" fontId="8" numFmtId="4" xfId="0" applyBorder="1" applyFont="1" applyNumberFormat="1"/>
    <xf borderId="38" fillId="12" fontId="5" numFmtId="0" xfId="0" applyAlignment="1" applyBorder="1" applyFill="1" applyFont="1">
      <alignment horizontal="center"/>
    </xf>
    <xf borderId="37" fillId="3" fontId="15" numFmtId="166" xfId="0" applyAlignment="1" applyBorder="1" applyFont="1" applyNumberFormat="1">
      <alignment horizontal="right"/>
    </xf>
    <xf borderId="37" fillId="3" fontId="8" numFmtId="166" xfId="0" applyAlignment="1" applyBorder="1" applyFont="1" applyNumberFormat="1">
      <alignment horizontal="right"/>
    </xf>
    <xf borderId="37" fillId="11" fontId="8" numFmtId="166" xfId="0" applyAlignment="1" applyBorder="1" applyFont="1" applyNumberFormat="1">
      <alignment horizontal="right"/>
    </xf>
    <xf borderId="0" fillId="0" fontId="16" numFmtId="0" xfId="0" applyFont="1"/>
    <xf borderId="0" fillId="0" fontId="1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57.71"/>
    <col customWidth="1" min="3" max="3" width="21.86"/>
    <col customWidth="1" min="4" max="4" width="21.71"/>
    <col customWidth="1" min="5" max="5" width="21.0"/>
    <col customWidth="1" min="6" max="6" width="22.43"/>
    <col customWidth="1" min="7" max="8" width="17.57"/>
    <col customWidth="1" min="9" max="9" width="18.43"/>
    <col customWidth="1" min="10" max="10" width="14.43"/>
    <col customWidth="1" min="11" max="11" width="18.14"/>
    <col customWidth="1" min="12" max="12" width="25.14"/>
    <col customWidth="1" min="13" max="13" width="13.4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5" t="s">
        <v>2</v>
      </c>
      <c r="C2" s="6"/>
      <c r="D2" s="6"/>
      <c r="E2" s="6"/>
      <c r="F2" s="7"/>
    </row>
    <row r="3">
      <c r="A3" s="8" t="s">
        <v>3</v>
      </c>
      <c r="B3" s="9" t="s">
        <v>4</v>
      </c>
      <c r="C3" s="10" t="s">
        <v>5</v>
      </c>
      <c r="D3" s="11"/>
      <c r="E3" s="11"/>
      <c r="F3" s="12"/>
    </row>
    <row r="4">
      <c r="A4" s="13" t="s">
        <v>6</v>
      </c>
      <c r="B4" s="6"/>
      <c r="C4" s="6"/>
      <c r="D4" s="6"/>
      <c r="E4" s="6"/>
      <c r="F4" s="14"/>
      <c r="G4" s="15" t="s">
        <v>7</v>
      </c>
      <c r="H4" s="6"/>
      <c r="I4" s="6"/>
      <c r="J4" s="14"/>
    </row>
    <row r="5" ht="16.5" customHeight="1">
      <c r="A5" s="16" t="s">
        <v>8</v>
      </c>
      <c r="B5" s="9" t="s">
        <v>9</v>
      </c>
      <c r="C5" s="17" t="s">
        <v>10</v>
      </c>
      <c r="D5" s="18"/>
      <c r="E5" s="18"/>
      <c r="F5" s="19"/>
      <c r="G5" s="20" t="s">
        <v>11</v>
      </c>
      <c r="H5" s="18"/>
      <c r="I5" s="18"/>
      <c r="J5" s="19"/>
    </row>
    <row r="6" ht="16.5" customHeight="1">
      <c r="A6" s="21" t="s">
        <v>12</v>
      </c>
      <c r="B6" s="22" t="s">
        <v>13</v>
      </c>
      <c r="C6" s="23" t="s">
        <v>14</v>
      </c>
      <c r="D6" s="18"/>
      <c r="E6" s="18"/>
      <c r="F6" s="19"/>
      <c r="G6" s="20" t="s">
        <v>15</v>
      </c>
      <c r="H6" s="18"/>
      <c r="I6" s="18"/>
      <c r="J6" s="19"/>
    </row>
    <row r="7">
      <c r="A7" s="24" t="s">
        <v>16</v>
      </c>
      <c r="B7" s="25" t="s">
        <v>17</v>
      </c>
      <c r="C7" s="26" t="s">
        <v>18</v>
      </c>
      <c r="D7" s="18"/>
      <c r="E7" s="18"/>
      <c r="F7" s="19"/>
      <c r="G7" s="20"/>
      <c r="H7" s="18"/>
      <c r="I7" s="18"/>
      <c r="J7" s="19"/>
    </row>
    <row r="8">
      <c r="A8" s="21" t="s">
        <v>19</v>
      </c>
      <c r="B8" s="22" t="s">
        <v>20</v>
      </c>
      <c r="C8" s="23" t="s">
        <v>21</v>
      </c>
      <c r="D8" s="18"/>
      <c r="E8" s="18"/>
      <c r="F8" s="19"/>
      <c r="G8" s="20"/>
      <c r="H8" s="18"/>
      <c r="I8" s="18"/>
      <c r="J8" s="19"/>
    </row>
    <row r="9">
      <c r="A9" s="21" t="s">
        <v>22</v>
      </c>
      <c r="B9" s="22" t="s">
        <v>23</v>
      </c>
      <c r="C9" s="23" t="s">
        <v>24</v>
      </c>
      <c r="D9" s="18"/>
      <c r="E9" s="18"/>
      <c r="F9" s="19"/>
      <c r="G9" s="20"/>
      <c r="H9" s="18"/>
      <c r="I9" s="18"/>
      <c r="J9" s="19"/>
      <c r="L9" s="27"/>
      <c r="M9" s="27"/>
      <c r="N9" s="27"/>
    </row>
    <row r="10">
      <c r="A10" s="21" t="s">
        <v>25</v>
      </c>
      <c r="B10" s="22" t="s">
        <v>26</v>
      </c>
      <c r="C10" s="23" t="s">
        <v>27</v>
      </c>
      <c r="D10" s="18"/>
      <c r="E10" s="18"/>
      <c r="F10" s="19"/>
      <c r="G10" s="20"/>
      <c r="H10" s="18"/>
      <c r="I10" s="18"/>
      <c r="J10" s="19"/>
    </row>
    <row r="11">
      <c r="A11" s="21" t="s">
        <v>28</v>
      </c>
      <c r="B11" s="22" t="s">
        <v>29</v>
      </c>
      <c r="C11" s="23" t="s">
        <v>30</v>
      </c>
      <c r="D11" s="18"/>
      <c r="E11" s="18"/>
      <c r="F11" s="19"/>
      <c r="G11" s="13" t="s">
        <v>31</v>
      </c>
      <c r="H11" s="6"/>
      <c r="I11" s="6"/>
      <c r="J11" s="14"/>
    </row>
    <row r="12">
      <c r="A12" s="21"/>
      <c r="B12" s="22"/>
      <c r="C12" s="23"/>
      <c r="D12" s="18"/>
      <c r="E12" s="18"/>
      <c r="F12" s="19"/>
      <c r="G12" s="20"/>
      <c r="H12" s="18"/>
      <c r="I12" s="18"/>
      <c r="J12" s="19"/>
    </row>
    <row r="13">
      <c r="A13" s="21"/>
      <c r="B13" s="22"/>
      <c r="C13" s="23"/>
      <c r="D13" s="18"/>
      <c r="E13" s="18"/>
      <c r="F13" s="19"/>
      <c r="G13" s="20"/>
      <c r="H13" s="18"/>
      <c r="I13" s="18"/>
      <c r="J13" s="19"/>
    </row>
    <row r="14">
      <c r="A14" s="21"/>
      <c r="B14" s="22"/>
      <c r="C14" s="23"/>
      <c r="D14" s="18"/>
      <c r="E14" s="18"/>
      <c r="F14" s="19"/>
      <c r="G14" s="20"/>
      <c r="H14" s="18"/>
      <c r="I14" s="18"/>
      <c r="J14" s="19"/>
    </row>
    <row r="15">
      <c r="A15" s="21"/>
      <c r="B15" s="22"/>
      <c r="C15" s="23"/>
      <c r="D15" s="18"/>
      <c r="E15" s="18"/>
      <c r="F15" s="19"/>
      <c r="G15" s="20"/>
      <c r="H15" s="18"/>
      <c r="I15" s="18"/>
      <c r="J15" s="19"/>
    </row>
    <row r="16">
      <c r="A16" s="21"/>
      <c r="B16" s="22"/>
      <c r="C16" s="23"/>
      <c r="D16" s="18"/>
      <c r="E16" s="18"/>
      <c r="F16" s="19"/>
      <c r="G16" s="20"/>
      <c r="H16" s="18"/>
      <c r="I16" s="18"/>
      <c r="J16" s="19"/>
    </row>
    <row r="17">
      <c r="A17" s="21"/>
      <c r="B17" s="22"/>
      <c r="C17" s="23"/>
      <c r="D17" s="18"/>
      <c r="E17" s="18"/>
      <c r="F17" s="19"/>
      <c r="G17" s="20"/>
      <c r="H17" s="18"/>
      <c r="I17" s="18"/>
      <c r="J17" s="19"/>
    </row>
    <row r="18">
      <c r="A18" s="28" t="s">
        <v>32</v>
      </c>
      <c r="B18" s="29" t="s">
        <v>33</v>
      </c>
      <c r="C18" s="30"/>
      <c r="D18" s="30"/>
      <c r="E18" s="30"/>
      <c r="F18" s="31"/>
      <c r="G18" s="32" t="s">
        <v>34</v>
      </c>
      <c r="H18" s="18"/>
      <c r="I18" s="18"/>
      <c r="J18" s="19"/>
    </row>
    <row r="19" ht="15.0" customHeight="1"/>
    <row r="20">
      <c r="C20" s="33" t="s">
        <v>35</v>
      </c>
      <c r="D20" s="33" t="s">
        <v>22</v>
      </c>
      <c r="E20" s="33" t="s">
        <v>36</v>
      </c>
      <c r="F20" s="33" t="s">
        <v>37</v>
      </c>
      <c r="G20" s="33" t="s">
        <v>38</v>
      </c>
      <c r="H20" s="33" t="s">
        <v>39</v>
      </c>
      <c r="I20" s="34" t="s">
        <v>25</v>
      </c>
      <c r="J20" s="35"/>
    </row>
    <row r="21" ht="15.75" customHeight="1">
      <c r="B21" s="36"/>
      <c r="C21" s="37">
        <v>46090.0</v>
      </c>
      <c r="D21" s="37">
        <v>46091.0</v>
      </c>
      <c r="E21" s="37">
        <v>46092.0</v>
      </c>
      <c r="F21" s="37">
        <v>46093.0</v>
      </c>
      <c r="G21" s="37">
        <v>46094.0</v>
      </c>
      <c r="H21" s="37">
        <v>46095.0</v>
      </c>
      <c r="I21" s="37">
        <v>46096.0</v>
      </c>
    </row>
    <row r="22" ht="15.75" customHeight="1">
      <c r="A22" s="38" t="s">
        <v>40</v>
      </c>
      <c r="B22" s="39" t="s">
        <v>41</v>
      </c>
      <c r="C22" s="40">
        <v>770.0</v>
      </c>
      <c r="D22" s="40">
        <v>535.0</v>
      </c>
      <c r="E22" s="40">
        <v>849.0</v>
      </c>
      <c r="F22" s="40">
        <v>928.0</v>
      </c>
      <c r="G22" s="40">
        <v>1000.0</v>
      </c>
      <c r="H22" s="40">
        <v>1244.0</v>
      </c>
      <c r="I22" s="40">
        <v>1613.0</v>
      </c>
      <c r="J22" s="41">
        <f>SUM(C22:I22)</f>
        <v>6939</v>
      </c>
      <c r="K22" s="35" t="str">
        <f>J22-[1]B!$J$22</f>
        <v>#ERROR!</v>
      </c>
      <c r="L22" s="42" t="str">
        <f>K22/J22</f>
        <v>#ERROR!</v>
      </c>
    </row>
    <row r="23" ht="15.75" customHeight="1">
      <c r="A23" s="43"/>
      <c r="B23" s="44" t="s">
        <v>42</v>
      </c>
      <c r="C23" s="45">
        <v>4.0</v>
      </c>
      <c r="D23" s="45">
        <v>3.0</v>
      </c>
      <c r="E23" s="45">
        <v>4.0</v>
      </c>
      <c r="F23" s="45">
        <v>4.0</v>
      </c>
      <c r="G23" s="45">
        <v>4.0</v>
      </c>
      <c r="H23" s="45">
        <v>5.0</v>
      </c>
      <c r="I23" s="45">
        <v>5.0</v>
      </c>
    </row>
    <row r="24" ht="15.75" customHeight="1">
      <c r="A24" s="43"/>
      <c r="B24" s="46" t="s">
        <v>43</v>
      </c>
      <c r="C24" s="47">
        <v>550.0</v>
      </c>
      <c r="D24" s="47">
        <v>550.0</v>
      </c>
      <c r="E24" s="47">
        <v>550.0</v>
      </c>
      <c r="F24" s="47">
        <v>550.0</v>
      </c>
      <c r="G24" s="47">
        <v>1300.0</v>
      </c>
      <c r="H24" s="47">
        <v>1350.0</v>
      </c>
      <c r="I24" s="47">
        <v>1350.0</v>
      </c>
      <c r="J24" s="48">
        <f>SUM(C24:I24)</f>
        <v>6200</v>
      </c>
    </row>
    <row r="25" ht="15.75" customHeight="1">
      <c r="A25" s="49"/>
      <c r="B25" s="50" t="s">
        <v>44</v>
      </c>
      <c r="C25" s="51">
        <v>2.0</v>
      </c>
      <c r="D25" s="51">
        <v>2.0</v>
      </c>
      <c r="E25" s="51">
        <v>2.0</v>
      </c>
      <c r="F25" s="51">
        <v>2.0</v>
      </c>
      <c r="G25" s="51">
        <v>3.0</v>
      </c>
      <c r="H25" s="51">
        <v>4.0</v>
      </c>
      <c r="I25" s="51">
        <v>4.0</v>
      </c>
    </row>
    <row r="26" ht="15.75" customHeight="1">
      <c r="A26" s="38" t="s">
        <v>45</v>
      </c>
      <c r="B26" s="39" t="s">
        <v>41</v>
      </c>
      <c r="C26" s="40">
        <v>290.0</v>
      </c>
      <c r="D26" s="40">
        <v>312.0</v>
      </c>
      <c r="E26" s="40">
        <v>401.0</v>
      </c>
      <c r="F26" s="40">
        <v>299.0</v>
      </c>
      <c r="G26" s="40">
        <v>686.0</v>
      </c>
      <c r="H26" s="40">
        <v>570.0</v>
      </c>
      <c r="I26" s="40">
        <v>204.0</v>
      </c>
      <c r="J26" s="41">
        <f>SUM(C26:I26)</f>
        <v>2762</v>
      </c>
      <c r="K26" s="35" t="str">
        <f>J26-[1]B!$J$26</f>
        <v>#ERROR!</v>
      </c>
      <c r="L26" s="42" t="str">
        <f>K26/[1]B!$J$26</f>
        <v>#ERROR!</v>
      </c>
    </row>
    <row r="27" ht="15.75" customHeight="1">
      <c r="A27" s="43"/>
      <c r="B27" s="44" t="s">
        <v>42</v>
      </c>
      <c r="C27" s="45">
        <v>2.0</v>
      </c>
      <c r="D27" s="45">
        <v>2.0</v>
      </c>
      <c r="E27" s="45">
        <v>3.0</v>
      </c>
      <c r="F27" s="45">
        <v>3.0</v>
      </c>
      <c r="G27" s="45">
        <v>3.0</v>
      </c>
      <c r="H27" s="45">
        <v>4.0</v>
      </c>
      <c r="I27" s="45">
        <v>4.0</v>
      </c>
    </row>
    <row r="28" ht="15.75" customHeight="1">
      <c r="A28" s="43"/>
      <c r="B28" s="46" t="s">
        <v>43</v>
      </c>
      <c r="C28" s="47">
        <v>300.0</v>
      </c>
      <c r="D28" s="47">
        <v>300.0</v>
      </c>
      <c r="E28" s="47">
        <v>300.0</v>
      </c>
      <c r="F28" s="47">
        <v>450.0</v>
      </c>
      <c r="G28" s="47">
        <v>450.0</v>
      </c>
      <c r="H28" s="47">
        <v>450.0</v>
      </c>
      <c r="I28" s="47">
        <v>450.0</v>
      </c>
      <c r="J28" s="48">
        <f>SUM(C28:I28)</f>
        <v>2700</v>
      </c>
    </row>
    <row r="29" ht="15.75" customHeight="1">
      <c r="A29" s="49"/>
      <c r="B29" s="50" t="s">
        <v>44</v>
      </c>
      <c r="C29" s="51">
        <v>2.0</v>
      </c>
      <c r="D29" s="51">
        <v>2.0</v>
      </c>
      <c r="E29" s="51">
        <v>2.0</v>
      </c>
      <c r="F29" s="51">
        <v>2.0</v>
      </c>
      <c r="G29" s="51">
        <v>4.0</v>
      </c>
      <c r="H29" s="51">
        <v>4.0</v>
      </c>
      <c r="I29" s="51">
        <v>4.0</v>
      </c>
      <c r="K29" s="35"/>
    </row>
    <row r="30" ht="15.75" customHeight="1">
      <c r="A30" s="52" t="s">
        <v>46</v>
      </c>
      <c r="B30" s="39" t="s">
        <v>41</v>
      </c>
      <c r="C30" s="40">
        <v>806.0</v>
      </c>
      <c r="D30" s="40">
        <v>735.0</v>
      </c>
      <c r="E30" s="40">
        <v>557.0</v>
      </c>
      <c r="F30" s="40">
        <v>862.0</v>
      </c>
      <c r="G30" s="40">
        <v>1207.0</v>
      </c>
      <c r="H30" s="40">
        <v>783.0</v>
      </c>
      <c r="I30" s="40">
        <v>389.0</v>
      </c>
      <c r="J30" s="41">
        <f>SUM(C30:I30)</f>
        <v>5339</v>
      </c>
      <c r="K30" s="35" t="str">
        <f>J30-[1]B!$J$30</f>
        <v>#ERROR!</v>
      </c>
      <c r="L30" s="42" t="str">
        <f>K30/J30</f>
        <v>#ERROR!</v>
      </c>
    </row>
    <row r="31" ht="15.75" customHeight="1">
      <c r="A31" s="53"/>
      <c r="B31" s="44" t="s">
        <v>42</v>
      </c>
      <c r="C31" s="45">
        <v>5.0</v>
      </c>
      <c r="D31" s="45">
        <v>5.0</v>
      </c>
      <c r="E31" s="45">
        <v>5.0</v>
      </c>
      <c r="F31" s="45">
        <v>5.0</v>
      </c>
      <c r="G31" s="45">
        <v>6.0</v>
      </c>
      <c r="H31" s="45">
        <v>5.0</v>
      </c>
      <c r="I31" s="45">
        <v>5.0</v>
      </c>
    </row>
    <row r="32" ht="15.75" customHeight="1">
      <c r="A32" s="53"/>
      <c r="B32" s="46" t="s">
        <v>43</v>
      </c>
      <c r="C32" s="47">
        <v>750.0</v>
      </c>
      <c r="D32" s="47">
        <v>750.0</v>
      </c>
      <c r="E32" s="47">
        <v>750.0</v>
      </c>
      <c r="F32" s="47">
        <v>750.0</v>
      </c>
      <c r="G32" s="47">
        <v>1100.0</v>
      </c>
      <c r="H32" s="47">
        <v>1100.0</v>
      </c>
      <c r="I32" s="47">
        <v>450.0</v>
      </c>
      <c r="J32" s="48">
        <f>SUM(C32:I32)</f>
        <v>5650</v>
      </c>
    </row>
    <row r="33" ht="15.75" customHeight="1">
      <c r="A33" s="54"/>
      <c r="B33" s="50" t="s">
        <v>44</v>
      </c>
      <c r="C33" s="51">
        <v>3.0</v>
      </c>
      <c r="D33" s="51">
        <v>3.0</v>
      </c>
      <c r="E33" s="51">
        <v>3.0</v>
      </c>
      <c r="F33" s="51">
        <v>3.0</v>
      </c>
      <c r="G33" s="51">
        <v>4.0</v>
      </c>
      <c r="H33" s="51">
        <v>4.0</v>
      </c>
      <c r="I33" s="51">
        <v>4.0</v>
      </c>
    </row>
    <row r="34" ht="15.75" customHeight="1">
      <c r="B34" s="55" t="s">
        <v>47</v>
      </c>
      <c r="C34" s="56">
        <f t="shared" ref="C34:I34" si="1">C32+C28+C24</f>
        <v>1600</v>
      </c>
      <c r="D34" s="56">
        <f t="shared" si="1"/>
        <v>1600</v>
      </c>
      <c r="E34" s="56">
        <f t="shared" si="1"/>
        <v>1600</v>
      </c>
      <c r="F34" s="56">
        <f t="shared" si="1"/>
        <v>1750</v>
      </c>
      <c r="G34" s="56">
        <f t="shared" si="1"/>
        <v>2850</v>
      </c>
      <c r="H34" s="56">
        <f t="shared" si="1"/>
        <v>2900</v>
      </c>
      <c r="I34" s="56">
        <f t="shared" si="1"/>
        <v>2250</v>
      </c>
    </row>
    <row r="35" ht="15.75" customHeight="1">
      <c r="B35" s="57" t="s">
        <v>48</v>
      </c>
      <c r="C35" s="58">
        <f t="shared" ref="C35:I35" si="2">SUM(C30+C26+C22)</f>
        <v>1866</v>
      </c>
      <c r="D35" s="58">
        <f t="shared" si="2"/>
        <v>1582</v>
      </c>
      <c r="E35" s="58">
        <f t="shared" si="2"/>
        <v>1807</v>
      </c>
      <c r="F35" s="58">
        <f t="shared" si="2"/>
        <v>2089</v>
      </c>
      <c r="G35" s="58">
        <f t="shared" si="2"/>
        <v>2893</v>
      </c>
      <c r="H35" s="58">
        <f t="shared" si="2"/>
        <v>2597</v>
      </c>
      <c r="I35" s="58">
        <f t="shared" si="2"/>
        <v>2206</v>
      </c>
    </row>
    <row r="36" ht="15.75" customHeight="1">
      <c r="B36" s="57" t="s">
        <v>47</v>
      </c>
      <c r="I36" s="59" t="s">
        <v>49</v>
      </c>
      <c r="J36" s="60">
        <f>J26+J30+J22</f>
        <v>15040</v>
      </c>
      <c r="K36" s="61" t="s">
        <v>50</v>
      </c>
      <c r="L36" s="62" t="s">
        <v>51</v>
      </c>
      <c r="M36" s="61" t="s">
        <v>52</v>
      </c>
    </row>
    <row r="37" ht="15.75" customHeight="1">
      <c r="F37" s="35" t="str">
        <f>J36-[2]B!$J$37</f>
        <v>#ERROR!</v>
      </c>
      <c r="G37" s="42" t="str">
        <f>F37/[2]B!$J$37</f>
        <v>#ERROR!</v>
      </c>
      <c r="H37" s="35">
        <f>J36-J37</f>
        <v>490</v>
      </c>
      <c r="I37" s="59" t="s">
        <v>53</v>
      </c>
      <c r="J37" s="63">
        <f>J28+J32+J24</f>
        <v>14550</v>
      </c>
      <c r="K37" s="40"/>
      <c r="L37" s="64">
        <f>J37</f>
        <v>14550</v>
      </c>
      <c r="M37" s="65">
        <f>L37/53</f>
        <v>274.5283019</v>
      </c>
    </row>
    <row r="38" ht="15.75" customHeight="1">
      <c r="F38" s="35"/>
      <c r="H38" s="42">
        <f>H37/J36</f>
        <v>0.03257978723</v>
      </c>
      <c r="J38" s="35">
        <f>+J37-J36</f>
        <v>-490</v>
      </c>
    </row>
    <row r="39" ht="15.75" customHeight="1">
      <c r="F39" s="35"/>
      <c r="G39" s="35" t="str">
        <f>J36-[3]B!$J$37</f>
        <v>#ERROR!</v>
      </c>
      <c r="I39" s="66" t="s">
        <v>54</v>
      </c>
      <c r="J39" s="67">
        <v>270.0</v>
      </c>
      <c r="K39" s="35">
        <f>15100/J39</f>
        <v>55.92592593</v>
      </c>
    </row>
    <row r="40" ht="15.75" customHeight="1">
      <c r="C40" s="35">
        <f>C22-330</f>
        <v>440</v>
      </c>
      <c r="G40" s="42" t="str">
        <f>G39/J36</f>
        <v>#ERROR!</v>
      </c>
      <c r="I40" s="66" t="s">
        <v>55</v>
      </c>
      <c r="J40" s="68">
        <f>J36/J39</f>
        <v>55.7037037</v>
      </c>
      <c r="K40" s="69" t="s">
        <v>56</v>
      </c>
      <c r="L40" s="70" t="s">
        <v>57</v>
      </c>
      <c r="M40" s="71">
        <f>J37/53</f>
        <v>274.5283019</v>
      </c>
    </row>
    <row r="41" ht="15.75" customHeight="1">
      <c r="I41" s="66" t="s">
        <v>58</v>
      </c>
      <c r="J41" s="72"/>
    </row>
    <row r="42" ht="15.75" customHeight="1">
      <c r="I42" s="66" t="s">
        <v>59</v>
      </c>
      <c r="J42" s="73">
        <f>J41/J36</f>
        <v>0</v>
      </c>
      <c r="K42" s="74" t="s">
        <v>60</v>
      </c>
      <c r="L42" s="75">
        <f>(J37/1.1)*0.28</f>
        <v>3703.636364</v>
      </c>
    </row>
    <row r="43" ht="15.75" hidden="1" customHeight="1">
      <c r="H43" s="76" t="s">
        <v>61</v>
      </c>
      <c r="I43" s="77"/>
      <c r="J43" s="77"/>
      <c r="K43" s="78"/>
    </row>
    <row r="44" ht="15.75" hidden="1" customHeight="1">
      <c r="I44" s="66" t="s">
        <v>62</v>
      </c>
      <c r="J44" s="79"/>
      <c r="K44" s="80"/>
    </row>
    <row r="45" ht="15.75" hidden="1" customHeight="1">
      <c r="I45" s="66" t="s">
        <v>63</v>
      </c>
      <c r="J45" s="81"/>
      <c r="K45" s="82" t="s">
        <v>64</v>
      </c>
    </row>
    <row r="46" ht="15.75" hidden="1" customHeight="1">
      <c r="I46" s="66" t="s">
        <v>65</v>
      </c>
      <c r="J46" s="83"/>
      <c r="K46" s="80"/>
    </row>
    <row r="47" ht="15.75" hidden="1" customHeight="1">
      <c r="I47" s="66" t="s">
        <v>66</v>
      </c>
      <c r="J47" s="83"/>
      <c r="K47" s="82" t="s">
        <v>67</v>
      </c>
    </row>
    <row r="48" ht="15.75" hidden="1" customHeight="1">
      <c r="H48" s="84" t="s">
        <v>61</v>
      </c>
      <c r="I48" s="77"/>
      <c r="J48" s="77"/>
      <c r="K48" s="78"/>
      <c r="L48" s="84" t="s">
        <v>61</v>
      </c>
      <c r="M48" s="77"/>
      <c r="N48" s="77"/>
      <c r="O48" s="78"/>
    </row>
    <row r="49" ht="15.75" hidden="1" customHeight="1">
      <c r="I49" s="66" t="s">
        <v>62</v>
      </c>
      <c r="J49" s="85"/>
      <c r="K49" s="75"/>
      <c r="M49" s="66" t="s">
        <v>62</v>
      </c>
      <c r="N49" s="86"/>
      <c r="O49" s="75"/>
    </row>
    <row r="50" ht="15.75" hidden="1" customHeight="1">
      <c r="I50" s="66" t="s">
        <v>68</v>
      </c>
      <c r="J50" s="85"/>
      <c r="K50" s="82" t="s">
        <v>69</v>
      </c>
      <c r="M50" s="66" t="s">
        <v>68</v>
      </c>
      <c r="N50" s="85">
        <v>0.045</v>
      </c>
      <c r="O50" s="82" t="s">
        <v>69</v>
      </c>
    </row>
    <row r="51" ht="15.75" hidden="1" customHeight="1">
      <c r="I51" s="66" t="s">
        <v>65</v>
      </c>
      <c r="J51" s="87"/>
      <c r="K51" s="80"/>
      <c r="M51" s="66" t="s">
        <v>65</v>
      </c>
      <c r="N51" s="87"/>
      <c r="O51" s="80"/>
    </row>
    <row r="52" ht="15.75" hidden="1" customHeight="1">
      <c r="I52" s="66" t="s">
        <v>66</v>
      </c>
      <c r="J52" s="87"/>
      <c r="K52" s="82" t="s">
        <v>70</v>
      </c>
      <c r="M52" s="66" t="s">
        <v>66</v>
      </c>
      <c r="N52" s="87"/>
      <c r="O52" s="82" t="s">
        <v>70</v>
      </c>
    </row>
    <row r="53" ht="15.75" hidden="1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I1"/>
    <mergeCell ref="B2:F2"/>
    <mergeCell ref="C3:F3"/>
    <mergeCell ref="A4:F4"/>
    <mergeCell ref="G4:J4"/>
    <mergeCell ref="C5:F5"/>
    <mergeCell ref="G5:J5"/>
    <mergeCell ref="C6:F6"/>
    <mergeCell ref="G6:J6"/>
    <mergeCell ref="C7:F7"/>
    <mergeCell ref="G7:J7"/>
    <mergeCell ref="C8:F8"/>
    <mergeCell ref="G8:J8"/>
    <mergeCell ref="G9:J9"/>
    <mergeCell ref="C16:F16"/>
    <mergeCell ref="C17:F17"/>
    <mergeCell ref="B18:F18"/>
    <mergeCell ref="A22:A25"/>
    <mergeCell ref="A26:A29"/>
    <mergeCell ref="A30:A33"/>
    <mergeCell ref="C9:F9"/>
    <mergeCell ref="C10:F10"/>
    <mergeCell ref="C11:F11"/>
    <mergeCell ref="C12:F12"/>
    <mergeCell ref="C13:F13"/>
    <mergeCell ref="C14:F14"/>
    <mergeCell ref="C15:F15"/>
    <mergeCell ref="G17:J17"/>
    <mergeCell ref="G18:J18"/>
    <mergeCell ref="H43:K43"/>
    <mergeCell ref="H48:K48"/>
    <mergeCell ref="L48:O48"/>
    <mergeCell ref="G10:J10"/>
    <mergeCell ref="G11:J11"/>
    <mergeCell ref="G12:J12"/>
    <mergeCell ref="G13:J13"/>
    <mergeCell ref="G14:J14"/>
    <mergeCell ref="G15:J15"/>
    <mergeCell ref="G16:J1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71"/>
    <col customWidth="1" min="3" max="6" width="10.71"/>
  </cols>
  <sheetData>
    <row r="1">
      <c r="B1" s="88" t="s">
        <v>71</v>
      </c>
      <c r="C1" s="88" t="s">
        <v>72</v>
      </c>
      <c r="D1" s="88" t="s">
        <v>73</v>
      </c>
    </row>
    <row r="2">
      <c r="B2" s="89" t="str">
        <f>#REF!+B!J36+#REF!+#REF!+#REF!+#REF!+#REF!+#REF!</f>
        <v>#REF!</v>
      </c>
      <c r="C2" s="88" t="str">
        <f>#REF!+#REF!+#REF!+#REF!+#REF!+#REF!+B!J39+#REF!</f>
        <v>#REF!</v>
      </c>
      <c r="D2" s="88" t="str">
        <f>B2/C2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