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D6937D24-79EC-41EF-BD59-D2146A4458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2" l="1"/>
  <c r="I55" i="2"/>
  <c r="J55" i="2" s="1"/>
  <c r="K30" i="2" l="1"/>
  <c r="L30" i="2" s="1"/>
  <c r="K26" i="2"/>
  <c r="K22" i="2"/>
  <c r="L22" i="2" s="1"/>
  <c r="J32" i="2" l="1"/>
  <c r="D35" i="2"/>
  <c r="F35" i="2" l="1"/>
  <c r="I35" i="2"/>
  <c r="H35" i="2"/>
  <c r="G35" i="2"/>
  <c r="E35" i="2"/>
  <c r="I34" i="2" l="1"/>
  <c r="D34" i="2"/>
  <c r="E34" i="2"/>
  <c r="F34" i="2"/>
  <c r="G34" i="2"/>
  <c r="H34" i="2"/>
  <c r="C34" i="2"/>
  <c r="C35" i="2"/>
  <c r="J22" i="2" l="1"/>
  <c r="J24" i="2"/>
  <c r="J28" i="2" l="1"/>
  <c r="C2" i="9"/>
  <c r="J30" i="2"/>
  <c r="J26" i="2"/>
  <c r="L26" i="2" s="1"/>
  <c r="J37" i="2" l="1"/>
  <c r="J36" i="2"/>
  <c r="H37" i="2" l="1"/>
  <c r="H38" i="2" s="1"/>
  <c r="M40" i="2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<sst xmlns="http://schemas.openxmlformats.org/spreadsheetml/2006/main" count="94" uniqueCount="71">
  <si>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</si>
  <si>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</si>
  <si>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</si>
  <si>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</si>
  <si>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</si>
  <si>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</si>
  <si>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</si>
  <si>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</si>
  <si>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</si>
  <si>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</si>
  <si>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</si>
  <si>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</si>
  <si>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</si>
  <si>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</si>
  <si>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</si>
  <si>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</si>
  <si>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</si>
  <si>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</si>
  <si>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</si>
  <si>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</si>
  <si>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</si>
  <si>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</si>
  <si>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</si>
  <si>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</si>
  <si>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</si>
  <si>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</si>
  <si>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</si>
  <si>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</si>
  <si>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</si>
  <si>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</si>
  <si>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</si>
  <si>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</si>
  <si>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</si>
  <si>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</si>
  <si>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</si>
  <si>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</si>
  <si>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</si>
  <si>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</si>
  <si>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</si>
  <si>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</si>
  <si>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</si>
  <si>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</si>
  <si>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</si>
  <si>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</si>
  <si>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</si>
  <si>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</si>
  <si>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</si>
  <si>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</si>
  <si>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</si>
  <si>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</si>
  <si>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</si>
  <si>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</si>
  <si>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</si>
  <si>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</si>
  <si>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</si>
  <si>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</si>
  <si>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</si>
  <si>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</si>
  <si>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</si>
  <si>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Objetivo 50</t>
  </si>
  <si>
    <t>Semana soleada, maximas de 18º minimas de 6º</t>
  </si>
  <si>
    <t>MEDIO DIA</t>
  </si>
  <si>
    <t>LUNCH MENÚ 16,90€</t>
  </si>
  <si>
    <t>TARDE 16h</t>
  </si>
  <si>
    <t>REUNIÓN SEMANAL</t>
  </si>
  <si>
    <t>S51</t>
  </si>
  <si>
    <t>del 15/12 al 21/12</t>
  </si>
  <si>
    <t>NOCHE 16:15H</t>
  </si>
  <si>
    <t>VILLARREAL VS BARÇA</t>
  </si>
  <si>
    <t>DE LUNES A VIERNES</t>
  </si>
  <si>
    <t>MISTERY GUEST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</si>
</sst>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0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9" fontId="3" fillId="0" borderId="36" xfId="3" applyFont="1" applyFill="1" applyBorder="1"/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ESTIMACI&#211;N%20DEMANDA%20s50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49%20BETLEM.xlsx" TargetMode="External"/><Relationship Id="rId1" Type="http://schemas.openxmlformats.org/officeDocument/2006/relationships/externalLinkPath" Target="ESTIMACI&#211;N%20DEMANDA%20s49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5507</v>
          </cell>
        </row>
        <row r="26">
          <cell r="J26">
            <v>3224</v>
          </cell>
        </row>
        <row r="30">
          <cell r="J30">
            <v>5852</v>
          </cell>
        </row>
        <row r="37">
          <cell r="J37">
            <v>15100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4409</v>
          </cell>
        </row>
        <row r="26">
          <cell r="J26">
            <v>3649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20" zoomScale="62" zoomScaleNormal="62" workbookViewId="0">
      <selection activeCell="C19" sqref="C1:E1048576"/>
    </sheetView>
  </sheetViews>
  <sheetFormatPr baseColWidth="10" defaultColWidth="14.453125" defaultRowHeight="15" customHeight="1" x14ac:dyDescent="0.35"/>
  <cols>
    <col min="1" max="1" width="22.1796875" bestFit="1" customWidth="1"/>
    <col min="2" max="2" width="48.6328125" bestFit="1" customWidth="1"/>
    <col min="3" max="6" width="14.7265625" bestFit="1" customWidth="1"/>
    <col min="7" max="7" width="16.54296875" bestFit="1" customWidth="1"/>
    <col min="8" max="8" width="16.54296875" customWidth="1"/>
    <col min="9" max="9" width="18.36328125" customWidth="1"/>
    <col min="10" max="10" width="13.269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86" t="s">
        <v>32</v>
      </c>
      <c r="B1" s="87"/>
      <c r="C1" s="87"/>
      <c r="D1" s="87"/>
      <c r="E1" s="87"/>
      <c r="F1" s="87"/>
      <c r="G1" s="87"/>
      <c r="H1" s="87"/>
      <c r="I1" s="88"/>
    </row>
    <row r="2" spans="1:14" ht="18.5" x14ac:dyDescent="0.45">
      <c r="A2" s="1" t="s">
        <v>0</v>
      </c>
      <c r="B2" s="89" t="s">
        <v>49</v>
      </c>
      <c r="C2" s="66"/>
      <c r="D2" s="66"/>
      <c r="E2" s="66"/>
      <c r="F2" s="90"/>
    </row>
    <row r="3" spans="1:14" thickBot="1" x14ac:dyDescent="0.4">
      <c r="A3" s="2" t="s">
        <v>1</v>
      </c>
      <c r="B3" s="3" t="s">
        <v>65</v>
      </c>
      <c r="C3" s="91" t="s">
        <v>66</v>
      </c>
      <c r="D3" s="92"/>
      <c r="E3" s="92"/>
      <c r="F3" s="93"/>
    </row>
    <row r="4" spans="1:14" ht="14.5" x14ac:dyDescent="0.35">
      <c r="A4" s="65" t="s">
        <v>44</v>
      </c>
      <c r="B4" s="66"/>
      <c r="C4" s="66"/>
      <c r="D4" s="66"/>
      <c r="E4" s="66"/>
      <c r="F4" s="67"/>
      <c r="G4" s="94" t="s">
        <v>2</v>
      </c>
      <c r="H4" s="95"/>
      <c r="I4" s="95"/>
      <c r="J4" s="96"/>
    </row>
    <row r="5" spans="1:14" ht="16.5" customHeight="1" x14ac:dyDescent="0.45">
      <c r="A5" s="4" t="s">
        <v>3</v>
      </c>
      <c r="B5" s="47" t="s">
        <v>45</v>
      </c>
      <c r="C5" s="97" t="s">
        <v>46</v>
      </c>
      <c r="D5" s="98"/>
      <c r="E5" s="98"/>
      <c r="F5" s="99"/>
      <c r="G5" s="68" t="s">
        <v>55</v>
      </c>
      <c r="H5" s="69"/>
      <c r="I5" s="69"/>
      <c r="J5" s="70"/>
    </row>
    <row r="6" spans="1:14" ht="16.5" customHeight="1" x14ac:dyDescent="0.45">
      <c r="A6" s="28" t="s">
        <v>58</v>
      </c>
      <c r="B6" s="29" t="s">
        <v>51</v>
      </c>
      <c r="C6" s="77" t="s">
        <v>54</v>
      </c>
      <c r="D6" s="78"/>
      <c r="E6" s="78"/>
      <c r="F6" s="79"/>
      <c r="G6" s="68" t="s">
        <v>56</v>
      </c>
      <c r="H6" s="69"/>
      <c r="I6" s="69"/>
      <c r="J6" s="70"/>
    </row>
    <row r="7" spans="1:14" ht="18.5" x14ac:dyDescent="0.45">
      <c r="A7" s="28" t="s">
        <v>52</v>
      </c>
      <c r="B7" s="29" t="s">
        <v>53</v>
      </c>
      <c r="C7" s="77" t="s">
        <v>54</v>
      </c>
      <c r="D7" s="78"/>
      <c r="E7" s="78"/>
      <c r="F7" s="79"/>
      <c r="G7" s="68"/>
      <c r="H7" s="69"/>
      <c r="I7" s="69"/>
      <c r="J7" s="70"/>
    </row>
    <row r="8" spans="1:14" ht="18.5" x14ac:dyDescent="0.45">
      <c r="A8" s="28" t="s">
        <v>11</v>
      </c>
      <c r="B8" s="29" t="s">
        <v>67</v>
      </c>
      <c r="C8" s="77" t="s">
        <v>68</v>
      </c>
      <c r="D8" s="78"/>
      <c r="E8" s="78"/>
      <c r="F8" s="79"/>
      <c r="G8" s="68"/>
      <c r="H8" s="69"/>
      <c r="I8" s="69"/>
      <c r="J8" s="70"/>
    </row>
    <row r="9" spans="1:14" ht="18.5" x14ac:dyDescent="0.45">
      <c r="A9" s="28" t="s">
        <v>69</v>
      </c>
      <c r="B9" s="29" t="s">
        <v>61</v>
      </c>
      <c r="C9" s="77" t="s">
        <v>62</v>
      </c>
      <c r="D9" s="78"/>
      <c r="E9" s="78"/>
      <c r="F9" s="79"/>
      <c r="G9" s="68"/>
      <c r="H9" s="69"/>
      <c r="I9" s="69"/>
      <c r="J9" s="70"/>
      <c r="L9" s="53"/>
      <c r="M9" s="53"/>
      <c r="N9" s="53"/>
    </row>
    <row r="10" spans="1:14" ht="19" thickBot="1" x14ac:dyDescent="0.5">
      <c r="A10" s="28" t="s">
        <v>8</v>
      </c>
      <c r="B10" s="29" t="s">
        <v>63</v>
      </c>
      <c r="C10" s="77" t="s">
        <v>64</v>
      </c>
      <c r="D10" s="78"/>
      <c r="E10" s="78"/>
      <c r="F10" s="79"/>
      <c r="G10" s="68"/>
      <c r="H10" s="69"/>
      <c r="I10" s="69"/>
      <c r="J10" s="70"/>
    </row>
    <row r="11" spans="1:14" ht="18.5" x14ac:dyDescent="0.45">
      <c r="A11" s="28"/>
      <c r="B11" s="29"/>
      <c r="C11" s="77" t="s">
        <v>70</v>
      </c>
      <c r="D11" s="78"/>
      <c r="E11" s="78"/>
      <c r="F11" s="79"/>
      <c r="G11" s="65" t="s">
        <v>33</v>
      </c>
      <c r="H11" s="66"/>
      <c r="I11" s="66"/>
      <c r="J11" s="67"/>
    </row>
    <row r="12" spans="1:14" ht="18.5" x14ac:dyDescent="0.45">
      <c r="A12" s="28"/>
      <c r="B12" s="29"/>
      <c r="C12" s="77"/>
      <c r="D12" s="78"/>
      <c r="E12" s="78"/>
      <c r="F12" s="79"/>
      <c r="G12" s="68"/>
      <c r="H12" s="69"/>
      <c r="I12" s="69"/>
      <c r="J12" s="70"/>
    </row>
    <row r="13" spans="1:14" ht="18.5" x14ac:dyDescent="0.45">
      <c r="A13" s="28"/>
      <c r="B13" s="29"/>
      <c r="C13" s="77"/>
      <c r="D13" s="78"/>
      <c r="E13" s="78"/>
      <c r="F13" s="79"/>
      <c r="G13" s="68"/>
      <c r="H13" s="69"/>
      <c r="I13" s="69"/>
      <c r="J13" s="70"/>
    </row>
    <row r="14" spans="1:14" ht="18.5" x14ac:dyDescent="0.45">
      <c r="A14" s="28"/>
      <c r="B14" s="29"/>
      <c r="C14" s="77"/>
      <c r="D14" s="78"/>
      <c r="E14" s="78"/>
      <c r="F14" s="79"/>
      <c r="G14" s="68"/>
      <c r="H14" s="69"/>
      <c r="I14" s="69"/>
      <c r="J14" s="70"/>
    </row>
    <row r="15" spans="1:14" ht="18.5" x14ac:dyDescent="0.45">
      <c r="A15" s="28"/>
      <c r="B15" s="29"/>
      <c r="C15" s="77"/>
      <c r="D15" s="78"/>
      <c r="E15" s="78"/>
      <c r="F15" s="79"/>
      <c r="G15" s="68"/>
      <c r="H15" s="69"/>
      <c r="I15" s="69"/>
      <c r="J15" s="70"/>
    </row>
    <row r="16" spans="1:14" ht="18.5" x14ac:dyDescent="0.45">
      <c r="A16" s="28"/>
      <c r="B16" s="29"/>
      <c r="C16" s="77"/>
      <c r="D16" s="78"/>
      <c r="E16" s="78"/>
      <c r="F16" s="79"/>
      <c r="G16" s="68"/>
      <c r="H16" s="69"/>
      <c r="I16" s="69"/>
      <c r="J16" s="70"/>
    </row>
    <row r="17" spans="1:12" ht="18.5" x14ac:dyDescent="0.45">
      <c r="A17" s="28"/>
      <c r="B17" s="29"/>
      <c r="C17" s="77"/>
      <c r="D17" s="78"/>
      <c r="E17" s="78"/>
      <c r="F17" s="79"/>
      <c r="G17" s="68"/>
      <c r="H17" s="69"/>
      <c r="I17" s="69"/>
      <c r="J17" s="70"/>
    </row>
    <row r="18" spans="1:12" ht="20" thickBot="1" x14ac:dyDescent="0.5">
      <c r="A18" s="30" t="s">
        <v>6</v>
      </c>
      <c r="B18" s="83" t="s">
        <v>60</v>
      </c>
      <c r="C18" s="84"/>
      <c r="D18" s="84"/>
      <c r="E18" s="84"/>
      <c r="F18" s="85"/>
      <c r="G18" s="71" t="s">
        <v>57</v>
      </c>
      <c r="H18" s="72"/>
      <c r="I18" s="72"/>
      <c r="J18" s="73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46006</v>
      </c>
      <c r="D21" s="9">
        <v>46007</v>
      </c>
      <c r="E21" s="9">
        <v>46008</v>
      </c>
      <c r="F21" s="9">
        <v>46009</v>
      </c>
      <c r="G21" s="9">
        <v>46010</v>
      </c>
      <c r="H21" s="9">
        <v>46011</v>
      </c>
      <c r="I21" s="9">
        <v>46012</v>
      </c>
    </row>
    <row r="22" spans="1:12" ht="15.75" customHeight="1" thickBot="1" x14ac:dyDescent="0.4">
      <c r="A22" s="80" t="s">
        <v>12</v>
      </c>
      <c r="B22" s="10" t="s">
        <v>13</v>
      </c>
      <c r="C22" s="54">
        <v>396</v>
      </c>
      <c r="D22" s="54">
        <v>409</v>
      </c>
      <c r="E22" s="54">
        <v>629</v>
      </c>
      <c r="F22" s="54">
        <v>229</v>
      </c>
      <c r="G22" s="54">
        <v>1138</v>
      </c>
      <c r="H22" s="54">
        <v>1064</v>
      </c>
      <c r="I22" s="54">
        <v>945</v>
      </c>
      <c r="J22" s="12">
        <f>SUM(C22:I22)</f>
        <v>4810</v>
      </c>
      <c r="K22" s="52">
        <f>J22-[1]B!$J$22</f>
        <v>-697</v>
      </c>
      <c r="L22" s="59">
        <f>K22/[1]B!$J$22</f>
        <v>-0.12656618848737969</v>
      </c>
    </row>
    <row r="23" spans="1:12" ht="15.75" customHeight="1" thickBot="1" x14ac:dyDescent="0.4">
      <c r="A23" s="81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81"/>
      <c r="B24" s="14" t="s">
        <v>15</v>
      </c>
      <c r="C24" s="33">
        <v>450</v>
      </c>
      <c r="D24" s="33">
        <v>450</v>
      </c>
      <c r="E24" s="33">
        <v>450</v>
      </c>
      <c r="F24" s="33">
        <v>450</v>
      </c>
      <c r="G24" s="33">
        <v>1000</v>
      </c>
      <c r="H24" s="33">
        <v>1000</v>
      </c>
      <c r="I24" s="33">
        <v>1000</v>
      </c>
      <c r="J24" s="15">
        <f>SUM(C24:I24)</f>
        <v>4800</v>
      </c>
    </row>
    <row r="25" spans="1:12" ht="15.75" customHeight="1" thickBot="1" x14ac:dyDescent="0.4">
      <c r="A25" s="82"/>
      <c r="B25" s="16" t="s">
        <v>16</v>
      </c>
      <c r="C25" s="32">
        <v>3</v>
      </c>
      <c r="D25" s="32">
        <v>3</v>
      </c>
      <c r="E25" s="32">
        <v>3</v>
      </c>
      <c r="F25" s="32">
        <v>3</v>
      </c>
      <c r="G25" s="32">
        <v>4</v>
      </c>
      <c r="H25" s="32">
        <v>4</v>
      </c>
      <c r="I25" s="32">
        <v>4</v>
      </c>
    </row>
    <row r="26" spans="1:12" ht="15.75" customHeight="1" thickBot="1" x14ac:dyDescent="0.4">
      <c r="A26" s="80" t="s">
        <v>50</v>
      </c>
      <c r="B26" s="10" t="s">
        <v>13</v>
      </c>
      <c r="C26" s="54">
        <v>187</v>
      </c>
      <c r="D26" s="54">
        <v>323</v>
      </c>
      <c r="E26" s="54">
        <v>303</v>
      </c>
      <c r="F26" s="54">
        <v>388</v>
      </c>
      <c r="G26" s="54">
        <v>488</v>
      </c>
      <c r="H26" s="54">
        <v>428</v>
      </c>
      <c r="I26" s="54">
        <v>554</v>
      </c>
      <c r="J26" s="12">
        <f>SUM(C26:I26)</f>
        <v>2671</v>
      </c>
      <c r="K26" s="5">
        <f>J26-[1]B!$J$26</f>
        <v>-553</v>
      </c>
      <c r="L26" s="60">
        <f>K26/[2]B!$J$26</f>
        <v>-0.15154836941627844</v>
      </c>
    </row>
    <row r="27" spans="1:12" ht="15.75" customHeight="1" thickBot="1" x14ac:dyDescent="0.4">
      <c r="A27" s="81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4">
      <c r="A28" s="81"/>
      <c r="B28" s="14" t="s">
        <v>15</v>
      </c>
      <c r="C28" s="33">
        <v>400</v>
      </c>
      <c r="D28" s="33">
        <v>400</v>
      </c>
      <c r="E28" s="33">
        <v>400</v>
      </c>
      <c r="F28" s="33">
        <v>450</v>
      </c>
      <c r="G28" s="33">
        <v>550</v>
      </c>
      <c r="H28" s="33">
        <v>700</v>
      </c>
      <c r="I28" s="33">
        <v>500</v>
      </c>
      <c r="J28" s="15">
        <f>SUM(C28:I28)</f>
        <v>3400</v>
      </c>
    </row>
    <row r="29" spans="1:12" ht="15.75" customHeight="1" thickBot="1" x14ac:dyDescent="0.4">
      <c r="A29" s="82"/>
      <c r="B29" s="16" t="s">
        <v>16</v>
      </c>
      <c r="C29" s="32">
        <v>3</v>
      </c>
      <c r="D29" s="32">
        <v>3</v>
      </c>
      <c r="E29" s="32">
        <v>3</v>
      </c>
      <c r="F29" s="32">
        <v>3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4">
      <c r="A30" s="74" t="s">
        <v>17</v>
      </c>
      <c r="B30" s="10" t="s">
        <v>13</v>
      </c>
      <c r="C30" s="54">
        <v>593</v>
      </c>
      <c r="D30" s="54">
        <v>597</v>
      </c>
      <c r="E30" s="54">
        <v>657</v>
      </c>
      <c r="F30" s="54">
        <v>620</v>
      </c>
      <c r="G30" s="54">
        <v>910</v>
      </c>
      <c r="H30" s="54">
        <v>807</v>
      </c>
      <c r="I30" s="54">
        <v>593</v>
      </c>
      <c r="J30" s="12">
        <f>SUM(C30:I30)</f>
        <v>4777</v>
      </c>
      <c r="K30" s="5">
        <f>J30-[1]B!$J$30</f>
        <v>-1075</v>
      </c>
      <c r="L30" s="59">
        <f>K30/[1]B!$J$30</f>
        <v>-0.18369788106630211</v>
      </c>
    </row>
    <row r="31" spans="1:12" ht="15.75" customHeight="1" thickBot="1" x14ac:dyDescent="0.4">
      <c r="A31" s="75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75"/>
      <c r="B32" s="14" t="s">
        <v>15</v>
      </c>
      <c r="C32" s="33">
        <v>400</v>
      </c>
      <c r="D32" s="33">
        <v>700</v>
      </c>
      <c r="E32" s="33">
        <v>700</v>
      </c>
      <c r="F32" s="33">
        <v>700</v>
      </c>
      <c r="G32" s="33">
        <v>750</v>
      </c>
      <c r="H32" s="33">
        <v>750</v>
      </c>
      <c r="I32" s="33">
        <v>750</v>
      </c>
      <c r="J32" s="15">
        <f>SUM(C32:I32)</f>
        <v>4750</v>
      </c>
    </row>
    <row r="33" spans="1:15" ht="15.75" customHeight="1" thickBot="1" x14ac:dyDescent="0.4">
      <c r="A33" s="76"/>
      <c r="B33" s="16" t="s">
        <v>16</v>
      </c>
      <c r="C33" s="32">
        <v>4</v>
      </c>
      <c r="D33" s="32">
        <v>4</v>
      </c>
      <c r="E33" s="32">
        <v>4</v>
      </c>
      <c r="F33" s="32">
        <v>4</v>
      </c>
      <c r="G33" s="32">
        <v>4</v>
      </c>
      <c r="H33" s="32">
        <v>4</v>
      </c>
      <c r="I33" s="32">
        <v>4</v>
      </c>
    </row>
    <row r="34" spans="1:15" ht="15.75" customHeight="1" x14ac:dyDescent="0.35">
      <c r="B34" s="57" t="s">
        <v>47</v>
      </c>
      <c r="C34" s="58">
        <f>C32+C28+C24</f>
        <v>1250</v>
      </c>
      <c r="D34" s="58">
        <f t="shared" ref="D34:H34" si="0">D32+D28+D24</f>
        <v>1550</v>
      </c>
      <c r="E34" s="58">
        <f t="shared" si="0"/>
        <v>1550</v>
      </c>
      <c r="F34" s="58">
        <f t="shared" si="0"/>
        <v>1600</v>
      </c>
      <c r="G34" s="58">
        <f t="shared" si="0"/>
        <v>2300</v>
      </c>
      <c r="H34" s="58">
        <f t="shared" si="0"/>
        <v>2450</v>
      </c>
      <c r="I34" s="58">
        <f>I32+I28+I24</f>
        <v>2250</v>
      </c>
    </row>
    <row r="35" spans="1:15" ht="15.75" customHeight="1" x14ac:dyDescent="0.35">
      <c r="B35" s="55" t="s">
        <v>48</v>
      </c>
      <c r="C35" s="56">
        <f>SUM(C30+C26+C22)</f>
        <v>1176</v>
      </c>
      <c r="D35" s="56">
        <f>SUM(D30+D26+D22)</f>
        <v>1329</v>
      </c>
      <c r="E35" s="56">
        <f>SUM(E30+E26+E22)</f>
        <v>1589</v>
      </c>
      <c r="F35" s="56">
        <f>SUM(F30+F26+F22)</f>
        <v>1237</v>
      </c>
      <c r="G35" s="56">
        <f t="shared" ref="G35:I35" si="1">SUM(G30+G26+G22)</f>
        <v>2536</v>
      </c>
      <c r="H35" s="56">
        <f t="shared" si="1"/>
        <v>2299</v>
      </c>
      <c r="I35" s="56">
        <f t="shared" si="1"/>
        <v>2092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12258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H37" s="52">
        <f>J36-J37</f>
        <v>-692</v>
      </c>
      <c r="I37" s="18" t="s">
        <v>22</v>
      </c>
      <c r="J37" s="22">
        <f>J28+J32+J24</f>
        <v>12950</v>
      </c>
      <c r="K37" s="11"/>
      <c r="L37" s="23">
        <f>J37</f>
        <v>12950</v>
      </c>
      <c r="M37" s="24">
        <f>L37/50</f>
        <v>259</v>
      </c>
    </row>
    <row r="38" spans="1:15" ht="15.75" customHeight="1" x14ac:dyDescent="0.35">
      <c r="F38" s="52"/>
      <c r="H38" s="59">
        <f>H37/J36</f>
        <v>-5.6452928699624733E-2</v>
      </c>
      <c r="J38" s="5">
        <f>+J37-J36</f>
        <v>692</v>
      </c>
    </row>
    <row r="39" spans="1:15" ht="15.75" customHeight="1" x14ac:dyDescent="0.35">
      <c r="F39" s="52"/>
      <c r="I39" s="25" t="s">
        <v>23</v>
      </c>
      <c r="J39" s="51">
        <v>294</v>
      </c>
      <c r="K39" s="52">
        <f>15100/J39</f>
        <v>51.360544217687078</v>
      </c>
    </row>
    <row r="40" spans="1:15" ht="15.75" customHeight="1" x14ac:dyDescent="0.35">
      <c r="I40" s="25" t="s">
        <v>24</v>
      </c>
      <c r="J40" s="50">
        <f>J36/J39</f>
        <v>41.693877551020407</v>
      </c>
      <c r="K40" s="35" t="s">
        <v>59</v>
      </c>
      <c r="L40" s="26" t="s">
        <v>25</v>
      </c>
      <c r="M40" s="36">
        <f>J37/50</f>
        <v>259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3296.3636363636365</v>
      </c>
    </row>
    <row r="43" spans="1:15" ht="15.75" hidden="1" customHeight="1" x14ac:dyDescent="0.35">
      <c r="H43" s="61" t="s">
        <v>43</v>
      </c>
      <c r="I43" s="62"/>
      <c r="J43" s="62"/>
      <c r="K43" s="63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>
      <c r="I55" s="52">
        <f>[1]B!$J$37-J37</f>
        <v>2150</v>
      </c>
      <c r="J55" s="59">
        <f>I55/[1]B!$J$37</f>
        <v>0.14238410596026491</v>
      </c>
    </row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A1:I1"/>
    <mergeCell ref="B2:F2"/>
    <mergeCell ref="C3:F3"/>
    <mergeCell ref="A4:F4"/>
    <mergeCell ref="G4:J4"/>
    <mergeCell ref="C11:F11"/>
    <mergeCell ref="C12:F12"/>
    <mergeCell ref="G9:J9"/>
    <mergeCell ref="G10:J10"/>
    <mergeCell ref="A26:A29"/>
    <mergeCell ref="C13:F13"/>
    <mergeCell ref="C10:F10"/>
    <mergeCell ref="A30:A33"/>
    <mergeCell ref="C14:F14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2025-12-09T15:34:42Z</dcterms:modified>
</cp:coreProperties>
</file>