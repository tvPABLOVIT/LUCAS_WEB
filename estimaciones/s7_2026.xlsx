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 y 2026\ESTIMACIÓN DEMANDA 2026 BETLEM\"/>
    </mc:Choice>
  </mc:AlternateContent>
  <xr:revisionPtr revIDLastSave="0" documentId="13_ncr:1_{94B1AA5A-5C71-46AC-9842-2053B3D345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2" l="1"/>
  <c r="L30" i="2" s="1"/>
  <c r="K26" i="2"/>
  <c r="L26" i="2" s="1"/>
  <c r="K22" i="2"/>
  <c r="L22" i="2" s="1"/>
  <c r="F35" i="2" l="1"/>
  <c r="C40" i="2"/>
  <c r="G35" i="2" l="1"/>
  <c r="C35" i="2" l="1"/>
  <c r="K39" i="2" l="1"/>
  <c r="J32" i="2" l="1"/>
  <c r="D35" i="2"/>
  <c r="I35" i="2" l="1"/>
  <c r="H35" i="2"/>
  <c r="E35" i="2"/>
  <c r="I34" i="2" l="1"/>
  <c r="D34" i="2"/>
  <c r="E34" i="2"/>
  <c r="F34" i="2"/>
  <c r="G34" i="2"/>
  <c r="H34" i="2"/>
  <c r="C34" i="2"/>
  <c r="J22" i="2" l="1"/>
  <c r="J24" i="2"/>
  <c r="J28" i="2" l="1"/>
  <c r="J37" i="2" s="1"/>
  <c r="M40" i="2" s="1"/>
  <c r="C2" i="9"/>
  <c r="J30" i="2"/>
  <c r="J26" i="2"/>
  <c r="J36" i="2" l="1"/>
  <c r="F37" i="2" l="1"/>
  <c r="G37" i="2" s="1"/>
  <c r="G39" i="2"/>
  <c r="G40" i="2" s="1"/>
  <c r="H37" i="2"/>
  <c r="H38" i="2" s="1"/>
  <c r="J42" i="2"/>
  <c r="B2" i="9"/>
  <c r="D2" i="9" s="1"/>
  <c r="J40" i="2"/>
  <c r="L42" i="2"/>
  <c r="L37" i="2"/>
  <c r="M37" i="2" s="1"/>
  <c r="J38" i="2"/>
</calcChain>
</file>

<file path=xl/sharedStrings.xml><?xml version="1.0" encoding="utf-8"?>
<sst xmlns="http://schemas.openxmlformats.org/spreadsheetml/2006/main" count="91" uniqueCount="69">
  <si>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</si>
  <si>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</si>
  <si>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</si>
  <si>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</si>
  <si>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</si>
  <si>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</si>
  <si>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</si>
  <si>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</si>
  <si>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</si>
  <si>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</si>
  <si>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</si>
  <si>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</si>
  <si>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</si>
  <si>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</si>
  <si>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</si>
  <si>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</si>
  <si>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</si>
  <si>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</si>
  <si>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</si>
  <si>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</si>
  <si>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</si>
  <si>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</si>
  <si>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</si>
  <si>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</si>
  <si>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</si>
  <si>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</si>
  <si>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</si>
  <si>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</si>
  <si>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</si>
  <si>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</si>
  <si>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</si>
  <si>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</si>
  <si>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</si>
  <si>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</si>
  <si>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</si>
  <si>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</si>
  <si>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</si>
  <si>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</si>
  <si>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</si>
  <si>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</si>
  <si>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</si>
  <si>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</si>
  <si>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</si>
  <si>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</si>
  <si>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</si>
  <si>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</si>
  <si>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</si>
  <si>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</si>
  <si>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</si>
  <si>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</si>
  <si>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</si>
  <si>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</si>
  <si>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</si>
  <si>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</si>
  <si>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</si>
  <si>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</si>
  <si>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Objetivo 50</t>
  </si>
  <si>
    <t>MEDIO DIA</t>
  </si>
  <si>
    <t>LUNCH MENÚ 16,90€</t>
  </si>
  <si>
    <t>MAÑANA 10.30H</t>
  </si>
  <si>
    <t xml:space="preserve">REUNIÓN SEMANAL </t>
  </si>
  <si>
    <t>DE LUNES A VIERNES</t>
  </si>
  <si>
    <t>LUNES A DOMINGO</t>
  </si>
  <si>
    <t>NO HAY PARTIDOS DEL BARÇA PARA ESA SEMANA</t>
  </si>
  <si>
    <t>MARTES 10.02</t>
  </si>
  <si>
    <t>S7</t>
  </si>
  <si>
    <t>del 09/02 al 15/02</t>
  </si>
  <si>
    <t>Semana con posible lluvia el lunes. EL RESTO SOLEADO. SUBEN Temperaturas máximas de 16º y minimas de 6º.</t>
  </si>
  <si>
    <t>SANT VALENTÍ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</si>
</sst>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3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FFC000"/>
        <bgColor rgb="FFFFFF00"/>
      </patternFill>
    </fill>
    <fill>
      <patternFill patternType="solid">
        <fgColor rgb="FFFC7CDA"/>
        <bgColor indexed="64"/>
      </patternFill>
    </fill>
    <fill>
      <patternFill patternType="solid">
        <fgColor rgb="FFFC7CDA"/>
        <bgColor rgb="FFE2EFD9"/>
      </patternFill>
    </fill>
    <fill>
      <patternFill patternType="solid">
        <fgColor theme="5" tint="0.39997558519241921"/>
        <bgColor rgb="FFFFFF00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14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0" fontId="4" fillId="16" borderId="12" xfId="0" applyFont="1" applyFill="1" applyBorder="1" applyAlignment="1">
      <alignment horizontal="center"/>
    </xf>
    <xf numFmtId="0" fontId="3" fillId="17" borderId="23" xfId="0" applyFont="1" applyFill="1" applyBorder="1" applyAlignment="1">
      <alignment horizontal="center"/>
    </xf>
    <xf numFmtId="16" fontId="3" fillId="17" borderId="19" xfId="0" applyNumberFormat="1" applyFont="1" applyFill="1" applyBorder="1" applyAlignment="1">
      <alignment horizontal="center"/>
    </xf>
    <xf numFmtId="44" fontId="3" fillId="17" borderId="13" xfId="1" applyFill="1" applyBorder="1"/>
    <xf numFmtId="0" fontId="3" fillId="17" borderId="4" xfId="0" applyFont="1" applyFill="1" applyBorder="1" applyAlignment="1">
      <alignment horizontal="center"/>
    </xf>
    <xf numFmtId="164" fontId="6" fillId="18" borderId="13" xfId="0" applyNumberFormat="1" applyFont="1" applyFill="1" applyBorder="1"/>
    <xf numFmtId="0" fontId="5" fillId="18" borderId="20" xfId="0" applyFont="1" applyFill="1" applyBorder="1" applyAlignment="1">
      <alignment horizontal="center"/>
    </xf>
    <xf numFmtId="44" fontId="7" fillId="18" borderId="12" xfId="0" applyNumberFormat="1" applyFont="1" applyFill="1" applyBorder="1"/>
    <xf numFmtId="44" fontId="20" fillId="18" borderId="12" xfId="0" applyNumberFormat="1" applyFont="1" applyFill="1" applyBorder="1"/>
    <xf numFmtId="0" fontId="4" fillId="19" borderId="18" xfId="0" applyFont="1" applyFill="1" applyBorder="1" applyAlignment="1">
      <alignment horizontal="center"/>
    </xf>
    <xf numFmtId="0" fontId="4" fillId="19" borderId="12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2" fillId="20" borderId="15" xfId="0" applyFont="1" applyFill="1" applyBorder="1"/>
    <xf numFmtId="0" fontId="2" fillId="20" borderId="16" xfId="0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%20y%202026\ESTIMACI&#211;N%20DEMANDA%202026%20BETLEM\ESTIMACI&#211;N%20DEMANDA%20s6%20BETLEM.xlsx" TargetMode="External"/><Relationship Id="rId1" Type="http://schemas.openxmlformats.org/officeDocument/2006/relationships/externalLinkPath" Target="ESTIMACI&#211;N%20DEMANDA%20s6%20BETL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0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0%20BETLE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1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1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3934</v>
          </cell>
        </row>
        <row r="26">
          <cell r="J26">
            <v>2926</v>
          </cell>
        </row>
        <row r="30">
          <cell r="J30">
            <v>4197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15100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12950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zoomScale="46" zoomScaleNormal="46" workbookViewId="0">
      <selection activeCell="N28" sqref="N27:N28"/>
    </sheetView>
  </sheetViews>
  <sheetFormatPr baseColWidth="10" defaultColWidth="14.453125" defaultRowHeight="15" customHeight="1" x14ac:dyDescent="0.35"/>
  <cols>
    <col min="1" max="2" width="38" bestFit="1" customWidth="1"/>
    <col min="3" max="3" width="21.81640625" customWidth="1"/>
    <col min="4" max="4" width="21.7265625" customWidth="1"/>
    <col min="5" max="5" width="21" customWidth="1"/>
    <col min="6" max="6" width="22.453125" customWidth="1"/>
    <col min="7" max="8" width="17.54296875" bestFit="1" customWidth="1"/>
    <col min="9" max="9" width="18.453125" customWidth="1"/>
    <col min="10" max="10" width="14.453125" bestFit="1" customWidth="1"/>
    <col min="11" max="11" width="18.1796875" bestFit="1" customWidth="1"/>
    <col min="12" max="12" width="25.1796875" bestFit="1" customWidth="1"/>
    <col min="13" max="13" width="13.453125" customWidth="1"/>
    <col min="16" max="16" width="6.1796875" bestFit="1" customWidth="1"/>
    <col min="17" max="17" width="37.1796875" bestFit="1" customWidth="1"/>
  </cols>
  <sheetData>
    <row r="1" spans="1:14" ht="40.5" customHeight="1" thickBot="1" x14ac:dyDescent="0.4">
      <c r="A1" s="100" t="s">
        <v>32</v>
      </c>
      <c r="B1" s="101"/>
      <c r="C1" s="101"/>
      <c r="D1" s="101"/>
      <c r="E1" s="101"/>
      <c r="F1" s="101"/>
      <c r="G1" s="101"/>
      <c r="H1" s="101"/>
      <c r="I1" s="102"/>
    </row>
    <row r="2" spans="1:14" ht="18.5" x14ac:dyDescent="0.45">
      <c r="A2" s="1" t="s">
        <v>0</v>
      </c>
      <c r="B2" s="103" t="s">
        <v>49</v>
      </c>
      <c r="C2" s="75"/>
      <c r="D2" s="75"/>
      <c r="E2" s="75"/>
      <c r="F2" s="104"/>
    </row>
    <row r="3" spans="1:14" thickBot="1" x14ac:dyDescent="0.4">
      <c r="A3" s="2" t="s">
        <v>1</v>
      </c>
      <c r="B3" s="3" t="s">
        <v>65</v>
      </c>
      <c r="C3" s="105" t="s">
        <v>66</v>
      </c>
      <c r="D3" s="106"/>
      <c r="E3" s="106"/>
      <c r="F3" s="107"/>
    </row>
    <row r="4" spans="1:14" ht="14.5" x14ac:dyDescent="0.35">
      <c r="A4" s="74" t="s">
        <v>44</v>
      </c>
      <c r="B4" s="75"/>
      <c r="C4" s="75"/>
      <c r="D4" s="75"/>
      <c r="E4" s="75"/>
      <c r="F4" s="76"/>
      <c r="G4" s="108" t="s">
        <v>2</v>
      </c>
      <c r="H4" s="109"/>
      <c r="I4" s="109"/>
      <c r="J4" s="110"/>
    </row>
    <row r="5" spans="1:14" ht="16.5" customHeight="1" x14ac:dyDescent="0.45">
      <c r="A5" s="4" t="s">
        <v>3</v>
      </c>
      <c r="B5" s="46" t="s">
        <v>45</v>
      </c>
      <c r="C5" s="111" t="s">
        <v>46</v>
      </c>
      <c r="D5" s="112"/>
      <c r="E5" s="112"/>
      <c r="F5" s="113"/>
      <c r="G5" s="77" t="s">
        <v>53</v>
      </c>
      <c r="H5" s="78"/>
      <c r="I5" s="78"/>
      <c r="J5" s="79"/>
    </row>
    <row r="6" spans="1:14" ht="16.5" customHeight="1" x14ac:dyDescent="0.45">
      <c r="A6" s="27" t="s">
        <v>62</v>
      </c>
      <c r="B6" s="28" t="s">
        <v>51</v>
      </c>
      <c r="C6" s="86" t="s">
        <v>52</v>
      </c>
      <c r="D6" s="87"/>
      <c r="E6" s="87"/>
      <c r="F6" s="88"/>
      <c r="G6" s="77" t="s">
        <v>54</v>
      </c>
      <c r="H6" s="78"/>
      <c r="I6" s="78"/>
      <c r="J6" s="79"/>
    </row>
    <row r="7" spans="1:14" ht="18.5" x14ac:dyDescent="0.45">
      <c r="A7" s="27" t="s">
        <v>64</v>
      </c>
      <c r="B7" s="59" t="s">
        <v>59</v>
      </c>
      <c r="C7" s="86" t="s">
        <v>60</v>
      </c>
      <c r="D7" s="95"/>
      <c r="E7" s="95"/>
      <c r="F7" s="96"/>
      <c r="G7" s="77"/>
      <c r="H7" s="78"/>
      <c r="I7" s="78"/>
      <c r="J7" s="79"/>
    </row>
    <row r="8" spans="1:14" ht="18.5" x14ac:dyDescent="0.45">
      <c r="A8" s="27" t="s">
        <v>61</v>
      </c>
      <c r="B8" s="28" t="s">
        <v>57</v>
      </c>
      <c r="C8" s="86" t="s">
        <v>58</v>
      </c>
      <c r="D8" s="95"/>
      <c r="E8" s="95"/>
      <c r="F8" s="96"/>
      <c r="G8" s="77"/>
      <c r="H8" s="78"/>
      <c r="I8" s="78"/>
      <c r="J8" s="79"/>
    </row>
    <row r="9" spans="1:14" ht="18.5" x14ac:dyDescent="0.45">
      <c r="A9" s="27"/>
      <c r="B9" s="28"/>
      <c r="C9" s="86" t="s">
        <v>63</v>
      </c>
      <c r="D9" s="95"/>
      <c r="E9" s="95"/>
      <c r="F9" s="96"/>
      <c r="G9" s="77"/>
      <c r="H9" s="78"/>
      <c r="I9" s="78"/>
      <c r="J9" s="79"/>
      <c r="L9" s="52"/>
      <c r="M9" s="52"/>
      <c r="N9" s="52"/>
    </row>
    <row r="10" spans="1:14" ht="19" thickBot="1" x14ac:dyDescent="0.5">
      <c r="A10" s="68" t="s">
        <v>5</v>
      </c>
      <c r="B10" s="69" t="s">
        <v>51</v>
      </c>
      <c r="C10" s="97" t="s">
        <v>68</v>
      </c>
      <c r="D10" s="98"/>
      <c r="E10" s="98"/>
      <c r="F10" s="99"/>
      <c r="G10" s="77"/>
      <c r="H10" s="78"/>
      <c r="I10" s="78"/>
      <c r="J10" s="79"/>
    </row>
    <row r="11" spans="1:14" ht="18.5" x14ac:dyDescent="0.45">
      <c r="A11" s="27"/>
      <c r="B11" s="28"/>
      <c r="C11" s="86"/>
      <c r="D11" s="87"/>
      <c r="E11" s="87"/>
      <c r="F11" s="88"/>
      <c r="G11" s="74" t="s">
        <v>33</v>
      </c>
      <c r="H11" s="75"/>
      <c r="I11" s="75"/>
      <c r="J11" s="76"/>
    </row>
    <row r="12" spans="1:14" ht="18.5" x14ac:dyDescent="0.45">
      <c r="A12" s="27"/>
      <c r="B12" s="28"/>
      <c r="C12" s="86"/>
      <c r="D12" s="95"/>
      <c r="E12" s="95"/>
      <c r="F12" s="96"/>
      <c r="G12" s="77"/>
      <c r="H12" s="78"/>
      <c r="I12" s="78"/>
      <c r="J12" s="79"/>
    </row>
    <row r="13" spans="1:14" ht="18.5" x14ac:dyDescent="0.45">
      <c r="A13" s="27"/>
      <c r="B13" s="28"/>
      <c r="C13" s="86"/>
      <c r="D13" s="95"/>
      <c r="E13" s="95"/>
      <c r="F13" s="96"/>
      <c r="G13" s="77"/>
      <c r="H13" s="78"/>
      <c r="I13" s="78"/>
      <c r="J13" s="79"/>
    </row>
    <row r="14" spans="1:14" ht="18.5" x14ac:dyDescent="0.45">
      <c r="A14" s="27"/>
      <c r="B14" s="28"/>
      <c r="C14" s="86"/>
      <c r="D14" s="95"/>
      <c r="E14" s="95"/>
      <c r="F14" s="96"/>
      <c r="G14" s="77"/>
      <c r="H14" s="78"/>
      <c r="I14" s="78"/>
      <c r="J14" s="79"/>
    </row>
    <row r="15" spans="1:14" ht="18.5" x14ac:dyDescent="0.45">
      <c r="A15" s="27"/>
      <c r="B15" s="28"/>
      <c r="C15" s="86"/>
      <c r="D15" s="87"/>
      <c r="E15" s="87"/>
      <c r="F15" s="88"/>
      <c r="G15" s="77"/>
      <c r="H15" s="78"/>
      <c r="I15" s="78"/>
      <c r="J15" s="79"/>
    </row>
    <row r="16" spans="1:14" ht="18.5" x14ac:dyDescent="0.45">
      <c r="A16" s="27"/>
      <c r="B16" s="28"/>
      <c r="C16" s="86"/>
      <c r="D16" s="87"/>
      <c r="E16" s="87"/>
      <c r="F16" s="88"/>
      <c r="G16" s="77"/>
      <c r="H16" s="78"/>
      <c r="I16" s="78"/>
      <c r="J16" s="79"/>
    </row>
    <row r="17" spans="1:12" ht="18.5" x14ac:dyDescent="0.45">
      <c r="A17" s="27"/>
      <c r="B17" s="28"/>
      <c r="C17" s="86"/>
      <c r="D17" s="87"/>
      <c r="E17" s="87"/>
      <c r="F17" s="88"/>
      <c r="G17" s="77"/>
      <c r="H17" s="78"/>
      <c r="I17" s="78"/>
      <c r="J17" s="79"/>
    </row>
    <row r="18" spans="1:12" ht="20" thickBot="1" x14ac:dyDescent="0.5">
      <c r="A18" s="29" t="s">
        <v>6</v>
      </c>
      <c r="B18" s="92" t="s">
        <v>67</v>
      </c>
      <c r="C18" s="93"/>
      <c r="D18" s="93"/>
      <c r="E18" s="93"/>
      <c r="F18" s="94"/>
      <c r="G18" s="80" t="s">
        <v>55</v>
      </c>
      <c r="H18" s="81"/>
      <c r="I18" s="81"/>
      <c r="J18" s="82"/>
    </row>
    <row r="19" spans="1:12" ht="15" customHeight="1" thickBot="1" x14ac:dyDescent="0.4"/>
    <row r="20" spans="1:12" ht="14.5" x14ac:dyDescent="0.35">
      <c r="C20" s="30" t="s">
        <v>7</v>
      </c>
      <c r="D20" s="30" t="s">
        <v>8</v>
      </c>
      <c r="E20" s="30" t="s">
        <v>4</v>
      </c>
      <c r="F20" s="30" t="s">
        <v>9</v>
      </c>
      <c r="G20" s="30" t="s">
        <v>10</v>
      </c>
      <c r="H20" s="60" t="s">
        <v>5</v>
      </c>
      <c r="I20" s="6" t="s">
        <v>11</v>
      </c>
      <c r="J20" s="51"/>
    </row>
    <row r="21" spans="1:12" ht="15.75" customHeight="1" thickBot="1" x14ac:dyDescent="0.4">
      <c r="B21" s="7"/>
      <c r="C21" s="8">
        <v>45697</v>
      </c>
      <c r="D21" s="8">
        <v>45698</v>
      </c>
      <c r="E21" s="8">
        <v>45699</v>
      </c>
      <c r="F21" s="8">
        <v>45700</v>
      </c>
      <c r="G21" s="8">
        <v>45701</v>
      </c>
      <c r="H21" s="61">
        <v>45702</v>
      </c>
      <c r="I21" s="8">
        <v>45703</v>
      </c>
    </row>
    <row r="22" spans="1:12" ht="15.75" customHeight="1" thickBot="1" x14ac:dyDescent="0.4">
      <c r="A22" s="89" t="s">
        <v>12</v>
      </c>
      <c r="B22" s="9" t="s">
        <v>13</v>
      </c>
      <c r="C22" s="53">
        <v>156</v>
      </c>
      <c r="D22" s="53">
        <v>412</v>
      </c>
      <c r="E22" s="53">
        <v>250</v>
      </c>
      <c r="F22" s="53">
        <v>463</v>
      </c>
      <c r="G22" s="53">
        <v>899</v>
      </c>
      <c r="H22" s="62">
        <v>1680</v>
      </c>
      <c r="I22" s="53">
        <v>1437</v>
      </c>
      <c r="J22" s="11">
        <f>SUM(C22:I22)</f>
        <v>5297</v>
      </c>
      <c r="K22" s="51">
        <f>J22-[1]B!$J$22</f>
        <v>1363</v>
      </c>
      <c r="L22" s="58">
        <f>K22/J22</f>
        <v>0.25731546158202756</v>
      </c>
    </row>
    <row r="23" spans="1:12" ht="15.75" customHeight="1" thickBot="1" x14ac:dyDescent="0.4">
      <c r="A23" s="90"/>
      <c r="B23" s="12" t="s">
        <v>14</v>
      </c>
      <c r="C23" s="33">
        <v>4</v>
      </c>
      <c r="D23" s="33">
        <v>3</v>
      </c>
      <c r="E23" s="33">
        <v>4</v>
      </c>
      <c r="F23" s="33">
        <v>4</v>
      </c>
      <c r="G23" s="33">
        <v>4</v>
      </c>
      <c r="H23" s="63">
        <v>5</v>
      </c>
      <c r="I23" s="33">
        <v>5</v>
      </c>
    </row>
    <row r="24" spans="1:12" ht="15.75" customHeight="1" thickBot="1" x14ac:dyDescent="0.4">
      <c r="A24" s="90"/>
      <c r="B24" s="13" t="s">
        <v>15</v>
      </c>
      <c r="C24" s="32">
        <v>400</v>
      </c>
      <c r="D24" s="32">
        <v>400</v>
      </c>
      <c r="E24" s="32">
        <v>400</v>
      </c>
      <c r="F24" s="32">
        <v>500</v>
      </c>
      <c r="G24" s="32">
        <v>500</v>
      </c>
      <c r="H24" s="64">
        <v>1200</v>
      </c>
      <c r="I24" s="32">
        <v>1200</v>
      </c>
      <c r="J24" s="14">
        <f>SUM(C24:I24)</f>
        <v>4600</v>
      </c>
    </row>
    <row r="25" spans="1:12" ht="15.75" customHeight="1" thickBot="1" x14ac:dyDescent="0.4">
      <c r="A25" s="91"/>
      <c r="B25" s="15" t="s">
        <v>16</v>
      </c>
      <c r="C25" s="31">
        <v>2</v>
      </c>
      <c r="D25" s="31">
        <v>2</v>
      </c>
      <c r="E25" s="31">
        <v>2</v>
      </c>
      <c r="F25" s="31">
        <v>2</v>
      </c>
      <c r="G25" s="31">
        <v>3</v>
      </c>
      <c r="H25" s="65">
        <v>4</v>
      </c>
      <c r="I25" s="31">
        <v>4</v>
      </c>
    </row>
    <row r="26" spans="1:12" ht="15.75" customHeight="1" thickBot="1" x14ac:dyDescent="0.4">
      <c r="A26" s="89" t="s">
        <v>50</v>
      </c>
      <c r="B26" s="9" t="s">
        <v>13</v>
      </c>
      <c r="C26" s="53">
        <v>251</v>
      </c>
      <c r="D26" s="53">
        <v>348</v>
      </c>
      <c r="E26" s="53">
        <v>366</v>
      </c>
      <c r="F26" s="53">
        <v>317</v>
      </c>
      <c r="G26" s="53">
        <v>405</v>
      </c>
      <c r="H26" s="62">
        <v>519</v>
      </c>
      <c r="I26" s="53">
        <v>510</v>
      </c>
      <c r="J26" s="11">
        <f>SUM(C26:I26)</f>
        <v>2716</v>
      </c>
      <c r="K26" s="5">
        <f>J26-[1]B!$J$26</f>
        <v>-210</v>
      </c>
      <c r="L26" s="58">
        <f>K26/[1]B!$J$26</f>
        <v>-7.1770334928229665E-2</v>
      </c>
    </row>
    <row r="27" spans="1:12" ht="15.75" customHeight="1" thickBot="1" x14ac:dyDescent="0.4">
      <c r="A27" s="90"/>
      <c r="B27" s="12" t="s">
        <v>14</v>
      </c>
      <c r="C27" s="33">
        <v>2</v>
      </c>
      <c r="D27" s="33">
        <v>2</v>
      </c>
      <c r="E27" s="33">
        <v>3</v>
      </c>
      <c r="F27" s="33">
        <v>3</v>
      </c>
      <c r="G27" s="33">
        <v>3</v>
      </c>
      <c r="H27" s="63">
        <v>4</v>
      </c>
      <c r="I27" s="33">
        <v>4</v>
      </c>
    </row>
    <row r="28" spans="1:12" ht="15.75" customHeight="1" thickBot="1" x14ac:dyDescent="0.4">
      <c r="A28" s="90"/>
      <c r="B28" s="13" t="s">
        <v>15</v>
      </c>
      <c r="C28" s="32">
        <v>300</v>
      </c>
      <c r="D28" s="32">
        <v>300</v>
      </c>
      <c r="E28" s="32">
        <v>300</v>
      </c>
      <c r="F28" s="32">
        <v>450</v>
      </c>
      <c r="G28" s="32">
        <v>450</v>
      </c>
      <c r="H28" s="64">
        <v>450</v>
      </c>
      <c r="I28" s="32">
        <v>450</v>
      </c>
      <c r="J28" s="14">
        <f>SUM(C28:I28)</f>
        <v>2700</v>
      </c>
    </row>
    <row r="29" spans="1:12" ht="15.75" customHeight="1" thickBot="1" x14ac:dyDescent="0.4">
      <c r="A29" s="91"/>
      <c r="B29" s="15" t="s">
        <v>16</v>
      </c>
      <c r="C29" s="31">
        <v>2</v>
      </c>
      <c r="D29" s="31">
        <v>2</v>
      </c>
      <c r="E29" s="31">
        <v>2</v>
      </c>
      <c r="F29" s="31">
        <v>2</v>
      </c>
      <c r="G29" s="31">
        <v>4</v>
      </c>
      <c r="H29" s="65">
        <v>4</v>
      </c>
      <c r="I29" s="31">
        <v>4</v>
      </c>
      <c r="K29" s="5"/>
    </row>
    <row r="30" spans="1:12" ht="15.75" customHeight="1" thickBot="1" x14ac:dyDescent="0.4">
      <c r="A30" s="83" t="s">
        <v>17</v>
      </c>
      <c r="B30" s="9" t="s">
        <v>13</v>
      </c>
      <c r="C30" s="53">
        <v>369</v>
      </c>
      <c r="D30" s="53">
        <v>538</v>
      </c>
      <c r="E30" s="53">
        <v>693</v>
      </c>
      <c r="F30" s="53">
        <v>968</v>
      </c>
      <c r="G30" s="53">
        <v>954</v>
      </c>
      <c r="H30" s="62">
        <v>1255</v>
      </c>
      <c r="I30" s="53">
        <v>344</v>
      </c>
      <c r="J30" s="11">
        <f>SUM(C30:I30)</f>
        <v>5121</v>
      </c>
      <c r="K30" s="5">
        <f>J30-[1]B!$J$30</f>
        <v>924</v>
      </c>
      <c r="L30" s="58">
        <f>K30/J30</f>
        <v>0.18043350908025776</v>
      </c>
    </row>
    <row r="31" spans="1:12" ht="15.75" customHeight="1" thickBot="1" x14ac:dyDescent="0.4">
      <c r="A31" s="84"/>
      <c r="B31" s="12" t="s">
        <v>14</v>
      </c>
      <c r="C31" s="33">
        <v>5</v>
      </c>
      <c r="D31" s="33">
        <v>5</v>
      </c>
      <c r="E31" s="33">
        <v>5</v>
      </c>
      <c r="F31" s="33">
        <v>5</v>
      </c>
      <c r="G31" s="33">
        <v>6</v>
      </c>
      <c r="H31" s="63">
        <v>5</v>
      </c>
      <c r="I31" s="33">
        <v>5</v>
      </c>
    </row>
    <row r="32" spans="1:12" ht="15.75" customHeight="1" thickBot="1" x14ac:dyDescent="0.4">
      <c r="A32" s="84"/>
      <c r="B32" s="13" t="s">
        <v>15</v>
      </c>
      <c r="C32" s="32">
        <v>600</v>
      </c>
      <c r="D32" s="32">
        <v>600</v>
      </c>
      <c r="E32" s="32">
        <v>600</v>
      </c>
      <c r="F32" s="32">
        <v>600</v>
      </c>
      <c r="G32" s="32">
        <v>1000</v>
      </c>
      <c r="H32" s="64">
        <v>1000</v>
      </c>
      <c r="I32" s="32">
        <v>450</v>
      </c>
      <c r="J32" s="14">
        <f>SUM(C32:I32)</f>
        <v>4850</v>
      </c>
    </row>
    <row r="33" spans="1:15" ht="15.75" customHeight="1" thickBot="1" x14ac:dyDescent="0.4">
      <c r="A33" s="85"/>
      <c r="B33" s="15" t="s">
        <v>16</v>
      </c>
      <c r="C33" s="31">
        <v>3</v>
      </c>
      <c r="D33" s="31">
        <v>3</v>
      </c>
      <c r="E33" s="31">
        <v>3</v>
      </c>
      <c r="F33" s="31">
        <v>3</v>
      </c>
      <c r="G33" s="31">
        <v>4</v>
      </c>
      <c r="H33" s="65">
        <v>4</v>
      </c>
      <c r="I33" s="31">
        <v>4</v>
      </c>
    </row>
    <row r="34" spans="1:15" ht="15.75" customHeight="1" x14ac:dyDescent="0.35">
      <c r="B34" s="56" t="s">
        <v>47</v>
      </c>
      <c r="C34" s="57">
        <f>C32+C28+C24</f>
        <v>1300</v>
      </c>
      <c r="D34" s="57">
        <f t="shared" ref="D34:H34" si="0">D32+D28+D24</f>
        <v>1300</v>
      </c>
      <c r="E34" s="57">
        <f t="shared" si="0"/>
        <v>1300</v>
      </c>
      <c r="F34" s="57">
        <f t="shared" si="0"/>
        <v>1550</v>
      </c>
      <c r="G34" s="57">
        <f t="shared" si="0"/>
        <v>1950</v>
      </c>
      <c r="H34" s="66">
        <f t="shared" si="0"/>
        <v>2650</v>
      </c>
      <c r="I34" s="57">
        <f>I32+I28+I24</f>
        <v>2100</v>
      </c>
    </row>
    <row r="35" spans="1:15" ht="15.75" customHeight="1" x14ac:dyDescent="0.35">
      <c r="B35" s="54" t="s">
        <v>48</v>
      </c>
      <c r="C35" s="55">
        <f>SUM(C30+C26+C22)</f>
        <v>776</v>
      </c>
      <c r="D35" s="55">
        <f>SUM(D30+D26+D22)</f>
        <v>1298</v>
      </c>
      <c r="E35" s="55">
        <f>SUM(E30+E26+E22)</f>
        <v>1309</v>
      </c>
      <c r="F35" s="55">
        <f>SUM(F30+F26+F22)</f>
        <v>1748</v>
      </c>
      <c r="G35" s="55">
        <f>SUM(G30+G26+G22)</f>
        <v>2258</v>
      </c>
      <c r="H35" s="67">
        <f t="shared" ref="H35:I35" si="1">SUM(H30+H26+H22)</f>
        <v>3454</v>
      </c>
      <c r="I35" s="55">
        <f t="shared" si="1"/>
        <v>2291</v>
      </c>
    </row>
    <row r="36" spans="1:15" ht="15.75" customHeight="1" x14ac:dyDescent="0.35">
      <c r="B36" s="54" t="s">
        <v>47</v>
      </c>
      <c r="I36" s="17" t="s">
        <v>18</v>
      </c>
      <c r="J36" s="18">
        <f>J26+J30+J22</f>
        <v>13134</v>
      </c>
      <c r="K36" s="19" t="s">
        <v>19</v>
      </c>
      <c r="L36" s="20" t="s">
        <v>20</v>
      </c>
      <c r="M36" s="19" t="s">
        <v>21</v>
      </c>
    </row>
    <row r="37" spans="1:15" ht="15.75" customHeight="1" x14ac:dyDescent="0.35">
      <c r="F37" s="51">
        <f>J36-[2]B!$J$37</f>
        <v>-1966</v>
      </c>
      <c r="G37" s="58">
        <f>F37/[2]B!$J$37</f>
        <v>-0.13019867549668873</v>
      </c>
      <c r="H37" s="51">
        <f>J36-J37</f>
        <v>984</v>
      </c>
      <c r="I37" s="17" t="s">
        <v>22</v>
      </c>
      <c r="J37" s="21">
        <f>J28+J32+J24</f>
        <v>12150</v>
      </c>
      <c r="K37" s="10"/>
      <c r="L37" s="22">
        <f>J37</f>
        <v>12150</v>
      </c>
      <c r="M37" s="23">
        <f>L37/50</f>
        <v>243</v>
      </c>
    </row>
    <row r="38" spans="1:15" ht="15.75" customHeight="1" x14ac:dyDescent="0.35">
      <c r="F38" s="51"/>
      <c r="H38" s="58">
        <f>H37/J36</f>
        <v>7.4920054819552301E-2</v>
      </c>
      <c r="J38" s="5">
        <f>+J37-J36</f>
        <v>-984</v>
      </c>
    </row>
    <row r="39" spans="1:15" ht="15.75" customHeight="1" x14ac:dyDescent="0.35">
      <c r="F39" s="51"/>
      <c r="G39" s="51">
        <f>J36-[3]B!$J$37</f>
        <v>184</v>
      </c>
      <c r="I39" s="24" t="s">
        <v>23</v>
      </c>
      <c r="J39" s="50">
        <v>281</v>
      </c>
      <c r="K39" s="51">
        <f>15100/J39</f>
        <v>53.736654804270465</v>
      </c>
    </row>
    <row r="40" spans="1:15" ht="15.75" customHeight="1" x14ac:dyDescent="0.35">
      <c r="C40" s="51">
        <f>C22-330</f>
        <v>-174</v>
      </c>
      <c r="G40" s="58">
        <f>G39/J36</f>
        <v>1.4009441145119537E-2</v>
      </c>
      <c r="I40" s="24" t="s">
        <v>24</v>
      </c>
      <c r="J40" s="49">
        <f>J36/J39</f>
        <v>46.740213523131672</v>
      </c>
      <c r="K40" s="34" t="s">
        <v>56</v>
      </c>
      <c r="L40" s="25" t="s">
        <v>25</v>
      </c>
      <c r="M40" s="35">
        <f>J37/50</f>
        <v>243</v>
      </c>
    </row>
    <row r="41" spans="1:15" ht="15.75" customHeight="1" x14ac:dyDescent="0.4">
      <c r="I41" s="24" t="s">
        <v>26</v>
      </c>
      <c r="J41" s="47"/>
    </row>
    <row r="42" spans="1:15" ht="15.75" customHeight="1" x14ac:dyDescent="0.35">
      <c r="I42" s="24" t="s">
        <v>27</v>
      </c>
      <c r="J42" s="48">
        <f>J41/J36</f>
        <v>0</v>
      </c>
      <c r="K42" s="36" t="s">
        <v>28</v>
      </c>
      <c r="L42" s="37">
        <f>(J37/1.1)*0.28</f>
        <v>3092.7272727272725</v>
      </c>
    </row>
    <row r="43" spans="1:15" ht="15.75" hidden="1" customHeight="1" x14ac:dyDescent="0.35">
      <c r="H43" s="70" t="s">
        <v>43</v>
      </c>
      <c r="I43" s="71"/>
      <c r="J43" s="71"/>
      <c r="K43" s="72"/>
    </row>
    <row r="44" spans="1:15" ht="15.75" hidden="1" customHeight="1" x14ac:dyDescent="0.4">
      <c r="I44" s="24" t="s">
        <v>29</v>
      </c>
      <c r="J44" s="38"/>
      <c r="K44" s="26"/>
    </row>
    <row r="45" spans="1:15" ht="15.75" hidden="1" customHeight="1" x14ac:dyDescent="0.35">
      <c r="I45" s="24" t="s">
        <v>34</v>
      </c>
      <c r="J45" s="39"/>
      <c r="K45" s="40" t="s">
        <v>30</v>
      </c>
    </row>
    <row r="46" spans="1:15" ht="15.75" hidden="1" customHeight="1" x14ac:dyDescent="0.35">
      <c r="I46" s="24" t="s">
        <v>35</v>
      </c>
      <c r="J46" s="41"/>
      <c r="K46" s="26"/>
    </row>
    <row r="47" spans="1:15" ht="15.75" hidden="1" customHeight="1" x14ac:dyDescent="0.35">
      <c r="I47" s="24" t="s">
        <v>31</v>
      </c>
      <c r="J47" s="41"/>
      <c r="K47" s="40" t="s">
        <v>36</v>
      </c>
    </row>
    <row r="48" spans="1:15" ht="15.75" hidden="1" customHeight="1" x14ac:dyDescent="0.35">
      <c r="H48" s="73" t="s">
        <v>43</v>
      </c>
      <c r="I48" s="71"/>
      <c r="J48" s="71"/>
      <c r="K48" s="72"/>
      <c r="L48" s="73" t="s">
        <v>43</v>
      </c>
      <c r="M48" s="71"/>
      <c r="N48" s="71"/>
      <c r="O48" s="72"/>
    </row>
    <row r="49" spans="9:15" ht="15.75" hidden="1" customHeight="1" x14ac:dyDescent="0.4">
      <c r="I49" s="24" t="s">
        <v>29</v>
      </c>
      <c r="J49" s="42"/>
      <c r="K49" s="37"/>
      <c r="M49" s="24" t="s">
        <v>29</v>
      </c>
      <c r="N49" s="43"/>
      <c r="O49" s="37"/>
    </row>
    <row r="50" spans="9:15" ht="15.75" hidden="1" customHeight="1" x14ac:dyDescent="0.4">
      <c r="I50" s="24" t="s">
        <v>37</v>
      </c>
      <c r="J50" s="42"/>
      <c r="K50" s="40" t="s">
        <v>38</v>
      </c>
      <c r="M50" s="24" t="s">
        <v>37</v>
      </c>
      <c r="N50" s="42">
        <v>4.4999999999999998E-2</v>
      </c>
      <c r="O50" s="40" t="s">
        <v>38</v>
      </c>
    </row>
    <row r="51" spans="9:15" ht="15.75" hidden="1" customHeight="1" x14ac:dyDescent="0.35">
      <c r="I51" s="24" t="s">
        <v>35</v>
      </c>
      <c r="J51" s="44"/>
      <c r="K51" s="26"/>
      <c r="M51" s="24" t="s">
        <v>35</v>
      </c>
      <c r="N51" s="44"/>
      <c r="O51" s="26"/>
    </row>
    <row r="52" spans="9:15" ht="15.75" hidden="1" customHeight="1" x14ac:dyDescent="0.35">
      <c r="I52" s="24" t="s">
        <v>31</v>
      </c>
      <c r="J52" s="44"/>
      <c r="K52" s="40" t="s">
        <v>39</v>
      </c>
      <c r="M52" s="24" t="s">
        <v>31</v>
      </c>
      <c r="N52" s="44"/>
      <c r="O52" s="40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/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C8:F8"/>
    <mergeCell ref="C9:F9"/>
    <mergeCell ref="C10:F10"/>
    <mergeCell ref="C11:F11"/>
    <mergeCell ref="A1:I1"/>
    <mergeCell ref="B2:F2"/>
    <mergeCell ref="C3:F3"/>
    <mergeCell ref="A4:F4"/>
    <mergeCell ref="G4:J4"/>
    <mergeCell ref="C5:F5"/>
    <mergeCell ref="G5:J5"/>
    <mergeCell ref="G8:J8"/>
    <mergeCell ref="C6:F6"/>
    <mergeCell ref="C7:F7"/>
    <mergeCell ref="G7:J7"/>
    <mergeCell ref="G6:J6"/>
    <mergeCell ref="C14:F14"/>
    <mergeCell ref="C12:F12"/>
    <mergeCell ref="G9:J9"/>
    <mergeCell ref="G10:J10"/>
    <mergeCell ref="A26:A29"/>
    <mergeCell ref="C13:F13"/>
    <mergeCell ref="A30:A33"/>
    <mergeCell ref="C15:F15"/>
    <mergeCell ref="C16:F16"/>
    <mergeCell ref="C17:F17"/>
    <mergeCell ref="A22:A25"/>
    <mergeCell ref="B18:F18"/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6" t="s">
        <v>40</v>
      </c>
      <c r="C1" s="16" t="s">
        <v>41</v>
      </c>
      <c r="D1" s="16" t="s">
        <v>42</v>
      </c>
    </row>
    <row r="2" spans="2:4" ht="14.5" x14ac:dyDescent="0.35">
      <c r="B2" s="45" t="e">
        <f>#REF!+B!J36+#REF!+#REF!+#REF!+#REF!+#REF!+#REF!</f>
        <v>#REF!</v>
      </c>
      <c r="C2" s="16" t="e">
        <f>#REF!+#REF!+#REF!+#REF!+#REF!+#REF!+B!J39+#REF!</f>
        <v>#REF!</v>
      </c>
      <c r="D2" s="16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2026-02-03T20:42:56Z</dcterms:modified>
</cp:coreProperties>
</file>